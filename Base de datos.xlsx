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jonathanguallasamin/Desktop/"/>
    </mc:Choice>
  </mc:AlternateContent>
  <xr:revisionPtr revIDLastSave="0" documentId="13_ncr:1_{B1500660-E02B-904B-885B-7FF3A05ACAE6}" xr6:coauthVersionLast="47" xr6:coauthVersionMax="47" xr10:uidLastSave="{00000000-0000-0000-0000-000000000000}"/>
  <bookViews>
    <workbookView xWindow="0" yWindow="640" windowWidth="29400" windowHeight="17380" xr2:uid="{EDD2A201-8F27-6A4E-8527-9746C2061AB5}"/>
  </bookViews>
  <sheets>
    <sheet name="Totale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9" i="1" l="1"/>
  <c r="AC29" i="1"/>
  <c r="AB29" i="1"/>
  <c r="AA29" i="1"/>
  <c r="X29" i="1"/>
  <c r="W29" i="1"/>
  <c r="V29" i="1"/>
  <c r="U29" i="1"/>
  <c r="R29" i="1"/>
  <c r="Q29" i="1"/>
  <c r="P29" i="1"/>
  <c r="O29" i="1"/>
  <c r="L29" i="1"/>
  <c r="K29" i="1"/>
  <c r="J29" i="1"/>
  <c r="I29" i="1"/>
  <c r="G29" i="1"/>
  <c r="F29" i="1"/>
  <c r="E29" i="1"/>
  <c r="D29" i="1"/>
  <c r="C29" i="1"/>
  <c r="AD28" i="1"/>
  <c r="AC28" i="1"/>
  <c r="AB28" i="1"/>
  <c r="AA28" i="1"/>
  <c r="X28" i="1"/>
  <c r="W28" i="1"/>
  <c r="V28" i="1"/>
  <c r="U28" i="1"/>
  <c r="R28" i="1"/>
  <c r="Q28" i="1"/>
  <c r="P28" i="1"/>
  <c r="O28" i="1"/>
  <c r="L28" i="1"/>
  <c r="K28" i="1"/>
  <c r="J28" i="1"/>
  <c r="I28" i="1"/>
  <c r="G28" i="1"/>
  <c r="F28" i="1"/>
  <c r="E28" i="1"/>
  <c r="D28" i="1"/>
  <c r="C28" i="1"/>
  <c r="AD27" i="1"/>
  <c r="AC27" i="1"/>
  <c r="AB27" i="1"/>
  <c r="AA27" i="1"/>
  <c r="X27" i="1"/>
  <c r="W27" i="1"/>
  <c r="V27" i="1"/>
  <c r="U27" i="1"/>
  <c r="R27" i="1"/>
  <c r="Q27" i="1"/>
  <c r="P27" i="1"/>
  <c r="O27" i="1"/>
  <c r="L27" i="1"/>
  <c r="K27" i="1"/>
  <c r="J27" i="1"/>
  <c r="I27" i="1"/>
  <c r="G27" i="1"/>
  <c r="F27" i="1"/>
  <c r="E27" i="1"/>
  <c r="D27" i="1"/>
  <c r="C27" i="1"/>
  <c r="AD26" i="1"/>
  <c r="AC26" i="1"/>
  <c r="AB26" i="1"/>
  <c r="AA26" i="1"/>
  <c r="X26" i="1"/>
  <c r="W26" i="1"/>
  <c r="V26" i="1"/>
  <c r="U26" i="1"/>
  <c r="R26" i="1"/>
  <c r="Q26" i="1"/>
  <c r="P26" i="1"/>
  <c r="O26" i="1"/>
  <c r="L26" i="1"/>
  <c r="K26" i="1"/>
  <c r="J26" i="1"/>
  <c r="I26" i="1"/>
  <c r="F26" i="1"/>
  <c r="E26" i="1"/>
  <c r="D26" i="1"/>
  <c r="C26" i="1"/>
  <c r="AD25" i="1"/>
  <c r="AC25" i="1"/>
  <c r="AB25" i="1"/>
  <c r="AA25" i="1"/>
  <c r="X25" i="1"/>
  <c r="W25" i="1"/>
  <c r="V25" i="1"/>
  <c r="U25" i="1"/>
  <c r="R25" i="1"/>
  <c r="Q25" i="1"/>
  <c r="P25" i="1"/>
  <c r="O25" i="1"/>
  <c r="L25" i="1"/>
  <c r="K25" i="1"/>
  <c r="J25" i="1"/>
  <c r="I25" i="1"/>
  <c r="F25" i="1"/>
  <c r="E25" i="1"/>
  <c r="D25" i="1"/>
  <c r="C25" i="1"/>
  <c r="AD23" i="1"/>
  <c r="AC23" i="1"/>
  <c r="AB23" i="1"/>
  <c r="AA23" i="1"/>
  <c r="X23" i="1"/>
  <c r="W23" i="1"/>
  <c r="V23" i="1"/>
  <c r="U23" i="1"/>
  <c r="R23" i="1"/>
  <c r="Q23" i="1"/>
  <c r="P23" i="1"/>
  <c r="O23" i="1"/>
  <c r="L23" i="1"/>
  <c r="K23" i="1"/>
  <c r="J23" i="1"/>
  <c r="I23" i="1"/>
  <c r="F23" i="1"/>
  <c r="E23" i="1"/>
  <c r="D23" i="1"/>
  <c r="C23" i="1"/>
  <c r="AD22" i="1"/>
  <c r="AC22" i="1"/>
  <c r="AB22" i="1"/>
  <c r="AA22" i="1"/>
  <c r="X22" i="1"/>
  <c r="W22" i="1"/>
  <c r="V22" i="1"/>
  <c r="U22" i="1"/>
  <c r="R22" i="1"/>
  <c r="Q22" i="1"/>
  <c r="P22" i="1"/>
  <c r="O22" i="1"/>
  <c r="L22" i="1"/>
  <c r="K22" i="1"/>
  <c r="J22" i="1"/>
  <c r="I22" i="1"/>
  <c r="F22" i="1"/>
  <c r="E22" i="1"/>
  <c r="D22" i="1"/>
  <c r="C22" i="1"/>
  <c r="AD21" i="1"/>
  <c r="AC21" i="1"/>
  <c r="AB21" i="1"/>
  <c r="AA21" i="1"/>
  <c r="X21" i="1"/>
  <c r="W21" i="1"/>
  <c r="V21" i="1"/>
  <c r="U21" i="1"/>
  <c r="R21" i="1"/>
  <c r="Q21" i="1"/>
  <c r="P21" i="1"/>
  <c r="O21" i="1"/>
  <c r="L21" i="1"/>
  <c r="K21" i="1"/>
  <c r="J21" i="1"/>
  <c r="I21" i="1"/>
  <c r="F21" i="1"/>
  <c r="E21" i="1"/>
  <c r="D21" i="1"/>
  <c r="C21" i="1"/>
  <c r="AD20" i="1"/>
  <c r="AC20" i="1"/>
  <c r="AB20" i="1"/>
  <c r="AA20" i="1"/>
  <c r="X20" i="1"/>
  <c r="W20" i="1"/>
  <c r="V20" i="1"/>
  <c r="U20" i="1"/>
  <c r="R20" i="1"/>
  <c r="Q20" i="1"/>
  <c r="P20" i="1"/>
  <c r="O20" i="1"/>
  <c r="L20" i="1"/>
  <c r="K20" i="1"/>
  <c r="J20" i="1"/>
  <c r="I20" i="1"/>
  <c r="F20" i="1"/>
  <c r="E20" i="1"/>
  <c r="D20" i="1"/>
  <c r="C20" i="1"/>
  <c r="AD19" i="1"/>
  <c r="AC19" i="1"/>
  <c r="AB19" i="1"/>
  <c r="AA19" i="1"/>
  <c r="X19" i="1"/>
  <c r="W19" i="1"/>
  <c r="V19" i="1"/>
  <c r="U19" i="1"/>
  <c r="R19" i="1"/>
  <c r="Q19" i="1"/>
  <c r="P19" i="1"/>
  <c r="O19" i="1"/>
  <c r="L19" i="1"/>
  <c r="K19" i="1"/>
  <c r="J19" i="1"/>
  <c r="I19" i="1"/>
  <c r="F19" i="1"/>
  <c r="E19" i="1"/>
  <c r="D19" i="1"/>
  <c r="C19" i="1"/>
  <c r="AD18" i="1"/>
  <c r="AC18" i="1"/>
  <c r="AB18" i="1"/>
  <c r="AA18" i="1"/>
  <c r="X18" i="1"/>
  <c r="W18" i="1"/>
  <c r="V18" i="1"/>
  <c r="U18" i="1"/>
  <c r="R18" i="1"/>
  <c r="Q18" i="1"/>
  <c r="P18" i="1"/>
  <c r="O18" i="1"/>
  <c r="L18" i="1"/>
  <c r="K18" i="1"/>
  <c r="J18" i="1"/>
  <c r="I18" i="1"/>
  <c r="F18" i="1"/>
  <c r="E18" i="1"/>
  <c r="D18" i="1"/>
  <c r="C18" i="1"/>
  <c r="AD17" i="1"/>
  <c r="AC17" i="1"/>
  <c r="AB17" i="1"/>
  <c r="AA17" i="1"/>
  <c r="X17" i="1"/>
  <c r="W17" i="1"/>
  <c r="V17" i="1"/>
  <c r="U17" i="1"/>
  <c r="R17" i="1"/>
  <c r="Q17" i="1"/>
  <c r="P17" i="1"/>
  <c r="O17" i="1"/>
  <c r="L17" i="1"/>
  <c r="K17" i="1"/>
  <c r="J17" i="1"/>
  <c r="I17" i="1"/>
  <c r="F17" i="1"/>
  <c r="E17" i="1"/>
  <c r="D17" i="1"/>
  <c r="C17" i="1"/>
  <c r="AD16" i="1"/>
  <c r="AC16" i="1"/>
  <c r="AB16" i="1"/>
  <c r="AA16" i="1"/>
  <c r="X16" i="1"/>
  <c r="W16" i="1"/>
  <c r="V16" i="1"/>
  <c r="U16" i="1"/>
  <c r="R16" i="1"/>
  <c r="Q16" i="1"/>
  <c r="P16" i="1"/>
  <c r="O16" i="1"/>
  <c r="L16" i="1"/>
  <c r="K16" i="1"/>
  <c r="J16" i="1"/>
  <c r="I16" i="1"/>
  <c r="F16" i="1"/>
  <c r="E16" i="1"/>
  <c r="D16" i="1"/>
  <c r="C16" i="1"/>
  <c r="AD15" i="1"/>
  <c r="AC15" i="1"/>
  <c r="AB15" i="1"/>
  <c r="AA15" i="1"/>
  <c r="X15" i="1"/>
  <c r="W15" i="1"/>
  <c r="V15" i="1"/>
  <c r="U15" i="1"/>
  <c r="R15" i="1"/>
  <c r="Q15" i="1"/>
  <c r="P15" i="1"/>
  <c r="O15" i="1"/>
  <c r="L15" i="1"/>
  <c r="K15" i="1"/>
  <c r="J15" i="1"/>
  <c r="I15" i="1"/>
  <c r="F15" i="1"/>
  <c r="E15" i="1"/>
  <c r="D15" i="1"/>
  <c r="C15" i="1"/>
  <c r="AD14" i="1"/>
  <c r="AC14" i="1"/>
  <c r="AB14" i="1"/>
  <c r="AA14" i="1"/>
  <c r="X14" i="1"/>
  <c r="W14" i="1"/>
  <c r="V14" i="1"/>
  <c r="U14" i="1"/>
  <c r="R14" i="1"/>
  <c r="Q14" i="1"/>
  <c r="P14" i="1"/>
  <c r="O14" i="1"/>
  <c r="L14" i="1"/>
  <c r="K14" i="1"/>
  <c r="J14" i="1"/>
  <c r="I14" i="1"/>
  <c r="F14" i="1"/>
  <c r="E14" i="1"/>
  <c r="D14" i="1"/>
  <c r="C14" i="1"/>
  <c r="AD13" i="1"/>
  <c r="AC13" i="1"/>
  <c r="AB13" i="1"/>
  <c r="AA13" i="1"/>
  <c r="X13" i="1"/>
  <c r="W13" i="1"/>
  <c r="V13" i="1"/>
  <c r="U13" i="1"/>
  <c r="R13" i="1"/>
  <c r="Q13" i="1"/>
  <c r="P13" i="1"/>
  <c r="O13" i="1"/>
  <c r="L13" i="1"/>
  <c r="K13" i="1"/>
  <c r="J13" i="1"/>
  <c r="I13" i="1"/>
  <c r="F13" i="1"/>
  <c r="E13" i="1"/>
  <c r="D13" i="1"/>
  <c r="C13" i="1"/>
  <c r="AD12" i="1"/>
  <c r="AC12" i="1"/>
  <c r="AB12" i="1"/>
  <c r="AA12" i="1"/>
  <c r="X12" i="1"/>
  <c r="W12" i="1"/>
  <c r="V12" i="1"/>
  <c r="U12" i="1"/>
  <c r="R12" i="1"/>
  <c r="Q12" i="1"/>
  <c r="P12" i="1"/>
  <c r="O12" i="1"/>
  <c r="L12" i="1"/>
  <c r="K12" i="1"/>
  <c r="J12" i="1"/>
  <c r="I12" i="1"/>
  <c r="F12" i="1"/>
  <c r="E12" i="1"/>
  <c r="D12" i="1"/>
  <c r="C12" i="1"/>
  <c r="AD11" i="1"/>
  <c r="AC11" i="1"/>
  <c r="AB11" i="1"/>
  <c r="AA11" i="1"/>
  <c r="X11" i="1"/>
  <c r="W11" i="1"/>
  <c r="V11" i="1"/>
  <c r="U11" i="1"/>
  <c r="R11" i="1"/>
  <c r="Q11" i="1"/>
  <c r="P11" i="1"/>
  <c r="O11" i="1"/>
  <c r="L11" i="1"/>
  <c r="K11" i="1"/>
  <c r="J11" i="1"/>
  <c r="I11" i="1"/>
  <c r="F11" i="1"/>
  <c r="E11" i="1"/>
  <c r="D11" i="1"/>
  <c r="C11" i="1"/>
  <c r="AD10" i="1"/>
  <c r="AC10" i="1"/>
  <c r="AB10" i="1"/>
  <c r="AA10" i="1"/>
  <c r="X10" i="1"/>
  <c r="W10" i="1"/>
  <c r="V10" i="1"/>
  <c r="U10" i="1"/>
  <c r="R10" i="1"/>
  <c r="Q10" i="1"/>
  <c r="P10" i="1"/>
  <c r="O10" i="1"/>
  <c r="L10" i="1"/>
  <c r="K10" i="1"/>
  <c r="J10" i="1"/>
  <c r="I10" i="1"/>
  <c r="F10" i="1"/>
  <c r="E10" i="1"/>
  <c r="D10" i="1"/>
  <c r="C10" i="1"/>
  <c r="AD9" i="1"/>
  <c r="AC9" i="1"/>
  <c r="AB9" i="1"/>
  <c r="AA9" i="1"/>
  <c r="X9" i="1"/>
  <c r="W9" i="1"/>
  <c r="V9" i="1"/>
  <c r="U9" i="1"/>
  <c r="R9" i="1"/>
  <c r="Q9" i="1"/>
  <c r="P9" i="1"/>
  <c r="O9" i="1"/>
  <c r="L9" i="1"/>
  <c r="K9" i="1"/>
  <c r="J9" i="1"/>
  <c r="I9" i="1"/>
  <c r="F9" i="1"/>
  <c r="E9" i="1"/>
  <c r="D9" i="1"/>
  <c r="C9" i="1"/>
  <c r="AD8" i="1"/>
  <c r="AC8" i="1"/>
  <c r="AB8" i="1"/>
  <c r="AA8" i="1"/>
  <c r="X8" i="1"/>
  <c r="W8" i="1"/>
  <c r="V8" i="1"/>
  <c r="U8" i="1"/>
  <c r="R8" i="1"/>
  <c r="Q8" i="1"/>
  <c r="P8" i="1"/>
  <c r="O8" i="1"/>
  <c r="L8" i="1"/>
  <c r="K8" i="1"/>
  <c r="J8" i="1"/>
  <c r="I8" i="1"/>
  <c r="F8" i="1"/>
  <c r="E8" i="1"/>
  <c r="D8" i="1"/>
  <c r="C8" i="1"/>
  <c r="AD7" i="1"/>
  <c r="AC7" i="1"/>
  <c r="AB7" i="1"/>
  <c r="AA7" i="1"/>
  <c r="X7" i="1"/>
  <c r="W7" i="1"/>
  <c r="V7" i="1"/>
  <c r="U7" i="1"/>
  <c r="R7" i="1"/>
  <c r="Q7" i="1"/>
  <c r="P7" i="1"/>
  <c r="O7" i="1"/>
  <c r="L7" i="1"/>
  <c r="K7" i="1"/>
  <c r="J7" i="1"/>
  <c r="I7" i="1"/>
  <c r="F7" i="1"/>
  <c r="E7" i="1"/>
  <c r="D7" i="1"/>
  <c r="C7" i="1"/>
  <c r="AD6" i="1"/>
  <c r="AC6" i="1"/>
  <c r="AB6" i="1"/>
  <c r="AA6" i="1"/>
  <c r="X6" i="1"/>
  <c r="W6" i="1"/>
  <c r="V6" i="1"/>
  <c r="U6" i="1"/>
  <c r="R6" i="1"/>
  <c r="Q6" i="1"/>
  <c r="P6" i="1"/>
  <c r="O6" i="1"/>
  <c r="L6" i="1"/>
  <c r="K6" i="1"/>
  <c r="J6" i="1"/>
  <c r="I6" i="1"/>
  <c r="F6" i="1"/>
  <c r="E6" i="1"/>
  <c r="D6" i="1"/>
  <c r="C6" i="1"/>
  <c r="AD5" i="1"/>
  <c r="AC5" i="1"/>
  <c r="AB5" i="1"/>
  <c r="AA5" i="1"/>
  <c r="X5" i="1"/>
  <c r="W5" i="1"/>
  <c r="V5" i="1"/>
  <c r="U5" i="1"/>
  <c r="R5" i="1"/>
  <c r="Q5" i="1"/>
  <c r="P5" i="1"/>
  <c r="O5" i="1"/>
  <c r="L5" i="1"/>
  <c r="K5" i="1"/>
  <c r="J5" i="1"/>
  <c r="I5" i="1"/>
  <c r="F5" i="1"/>
  <c r="E5" i="1"/>
  <c r="D5" i="1"/>
  <c r="C5" i="1"/>
  <c r="AD4" i="1"/>
  <c r="AC4" i="1"/>
  <c r="AB4" i="1"/>
  <c r="AA4" i="1"/>
  <c r="X4" i="1"/>
  <c r="W4" i="1"/>
  <c r="V4" i="1"/>
  <c r="U4" i="1"/>
  <c r="R4" i="1"/>
  <c r="Q4" i="1"/>
  <c r="P4" i="1"/>
  <c r="O4" i="1"/>
  <c r="L4" i="1"/>
  <c r="K4" i="1"/>
  <c r="J4" i="1"/>
  <c r="I4" i="1"/>
  <c r="F4" i="1"/>
  <c r="E4" i="1"/>
  <c r="D4" i="1"/>
  <c r="C4" i="1"/>
  <c r="AD3" i="1"/>
  <c r="AC3" i="1"/>
  <c r="AB3" i="1"/>
  <c r="AA3" i="1"/>
  <c r="X3" i="1"/>
  <c r="W3" i="1"/>
  <c r="V3" i="1"/>
  <c r="U3" i="1"/>
  <c r="R3" i="1"/>
  <c r="Q3" i="1"/>
  <c r="P3" i="1"/>
  <c r="O3" i="1"/>
  <c r="L3" i="1"/>
  <c r="K3" i="1"/>
  <c r="J3" i="1"/>
  <c r="I3" i="1"/>
  <c r="F3" i="1"/>
  <c r="E3" i="1"/>
  <c r="D3" i="1"/>
  <c r="C3" i="1"/>
</calcChain>
</file>

<file path=xl/sharedStrings.xml><?xml version="1.0" encoding="utf-8"?>
<sst xmlns="http://schemas.openxmlformats.org/spreadsheetml/2006/main" count="91" uniqueCount="67">
  <si>
    <t>Indicador</t>
  </si>
  <si>
    <t>Resultado del indicador 2024</t>
  </si>
  <si>
    <t>Resultado del indicador 2025</t>
  </si>
  <si>
    <t>Resultado del indicador 2026</t>
  </si>
  <si>
    <t>Resultado del indicador 2027</t>
  </si>
  <si>
    <t>Resultado del indicador 2028</t>
  </si>
  <si>
    <t>IE</t>
  </si>
  <si>
    <t>EDU</t>
  </si>
  <si>
    <t>ATDCA</t>
  </si>
  <si>
    <t>DCS</t>
  </si>
  <si>
    <t>DAF</t>
  </si>
  <si>
    <t>COM</t>
  </si>
  <si>
    <t xml:space="preserve">1.1.1.Número de beneficiarios directos en proyectos de FARO </t>
  </si>
  <si>
    <t>1.1.3.Número de proyectos e iniciativas propias implementadas con enfoque de transformación social</t>
  </si>
  <si>
    <t>2.1.1 Número de participaciones en espacios de las redes de las que FARO forma parte.</t>
  </si>
  <si>
    <t>2.1.2 Número de proyectos e iniciativas implementadas con aliados internacionales.</t>
  </si>
  <si>
    <r>
      <rPr>
        <b/>
        <sz val="11"/>
        <color theme="1"/>
        <rFont val="Calibri"/>
        <family val="2"/>
      </rPr>
      <t>2.2.1 Número de proyectos e iniciativas implementadas en colaboración con el sector privado nacional</t>
    </r>
    <r>
      <rPr>
        <b/>
        <sz val="11"/>
        <color rgb="FFC55A11"/>
        <rFont val="Calibri"/>
        <family val="2"/>
      </rPr>
      <t xml:space="preserve"> </t>
    </r>
  </si>
  <si>
    <t>2.2.2 Número de proyectos e iniciativas implementadas en colaboración con el sector público nacional</t>
  </si>
  <si>
    <t>2.2.3 Número de proyectos e iniciativas implementadas en colaboración con organizaciones de la sociedad civil nacional</t>
  </si>
  <si>
    <t>2.3.1 Número de iniciativas financiadas por el sector público</t>
  </si>
  <si>
    <t>2.3.2 Número de iniciativas financiadas por el sector privado</t>
  </si>
  <si>
    <t>3.1.1 Número de documentos/productos de evidencia presentados a tomadores de decisión.</t>
  </si>
  <si>
    <t>3.2.1 Número de políticas, programas o normativas influenciadas por productos de FARO</t>
  </si>
  <si>
    <t>3.3.1 Número de programas FARO con potencial de escalabilidad a partir de su resultado e impacto</t>
  </si>
  <si>
    <t>4.1.1 Crecimiento, alcance y engagement en canales digitales</t>
  </si>
  <si>
    <t>4.1.2 Incremento del tráfico web y tiempo de permanencia en la página</t>
  </si>
  <si>
    <t>4.2.1 Número de menciones en medios de comunicación y citas de estudios sobre investigaciones de FARO.</t>
  </si>
  <si>
    <t>4.2.2 Número de entrevistas, reportajes y artículos que resalten el trabajo de FARO.</t>
  </si>
  <si>
    <t>4.2.3 Número de participación de voceros en paneles, foros y debates relevantes temáticamente para FARO.</t>
  </si>
  <si>
    <t>4.2.4 Monto generado por free press</t>
  </si>
  <si>
    <t>4.3.1 % de reconocimiento de FARO en encuestas de percepción con actores clave (tomadores de decisiones, sociedad civil, academia, medios)</t>
  </si>
  <si>
    <t>4.3.2 Número de personas, organizaciones, espacios (etc) alcanzadas por free press</t>
  </si>
  <si>
    <t>5.1.1 Índice de sostenibilidad (ingresos - gastos, alianzas, redes, diversificación de ingresos)</t>
  </si>
  <si>
    <t>6.1.1 Repositorio actualizado de todas las acciones realizadas por FARO</t>
  </si>
  <si>
    <t>6.2.1 Porcentaje de aseguramiento de la calidad en los productos y servicios de FARO</t>
  </si>
  <si>
    <t>7.1.1 Porcentaje de satisfacción del uso de herramientas tecnológicas al personal de FARO (por área)</t>
  </si>
  <si>
    <t>8.1.1 Número de colaboradores que alcance la evaluación de desempeño satisfactoria y más</t>
  </si>
  <si>
    <t>8.1.2 Porcentaje de colaboradores capacitados anualmente</t>
  </si>
  <si>
    <t>IndicadorSimplificado</t>
  </si>
  <si>
    <t>Beneficiarios Directos</t>
  </si>
  <si>
    <t>Total Proyectos Implementados</t>
  </si>
  <si>
    <t>1.1.2.Número de proyectos implementados</t>
  </si>
  <si>
    <t>Proyectos de Transformación Social</t>
  </si>
  <si>
    <t>Participación en Redes</t>
  </si>
  <si>
    <t>Alianzas Internacionales</t>
  </si>
  <si>
    <t>Alianzas Sector Privado</t>
  </si>
  <si>
    <t>Alianzas Sector Público</t>
  </si>
  <si>
    <t>Alianzas Sociedad Civil</t>
  </si>
  <si>
    <t>Financiamiento Público</t>
  </si>
  <si>
    <t>Financiamiento Privado</t>
  </si>
  <si>
    <t>Entrega de Evidencia a tomadores de decisión</t>
  </si>
  <si>
    <t>Influencia en Políticas Públicas</t>
  </si>
  <si>
    <t>Programas Escalables</t>
  </si>
  <si>
    <t>Engagement Digital</t>
  </si>
  <si>
    <t>Tráfico y Retención Web</t>
  </si>
  <si>
    <t>Citas y Menciones</t>
  </si>
  <si>
    <t>Cobertura Periodística</t>
  </si>
  <si>
    <t>Vocería en Eventos</t>
  </si>
  <si>
    <t>Valorización Free Press</t>
  </si>
  <si>
    <t>Reconocimiento de Marca</t>
  </si>
  <si>
    <t>Alcance Free Press</t>
  </si>
  <si>
    <t>Índice de Sostenibilidad Financiera</t>
  </si>
  <si>
    <t>Actualización de Repositorio</t>
  </si>
  <si>
    <t>Calidad de Productos</t>
  </si>
  <si>
    <t>Satisfacción Tecnológica</t>
  </si>
  <si>
    <t>Desempeño del Personal</t>
  </si>
  <si>
    <t>Capacitación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</si>
</sst>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434343"/>
      <name val="Calibri"/>
      <family val="2"/>
    </font>
    <font>
      <b/>
      <sz val="11"/>
      <color rgb="FFC55A11"/>
      <name val="Calibri"/>
      <family val="2"/>
    </font>
    <font>
      <sz val="11"/>
      <color theme="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0" fontId="3" fillId="3" borderId="1" xfId="0" applyNumberFormat="1" applyFont="1" applyFill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3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" fontId="3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nathanguallasamin/Downloads/Matriz%20de%20Indicadores%20completa%20FARO_2024_2028_v5.xlsx" TargetMode="External"/><Relationship Id="rId1" Type="http://schemas.openxmlformats.org/officeDocument/2006/relationships/externalLinkPath" Target="/Users/jonathanguallasamin/Downloads/Matriz%20de%20Indicadores%20completa%20FARO_2024_2028_v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finiciones"/>
      <sheetName val="IE"/>
      <sheetName val="Educación"/>
      <sheetName val="DSC"/>
      <sheetName val="ADTCA"/>
      <sheetName val="DAF"/>
      <sheetName val="Comunicación"/>
      <sheetName val="Totales"/>
      <sheetName val="Hoja1"/>
    </sheetNames>
    <sheetDataSet>
      <sheetData sheetId="0"/>
      <sheetData sheetId="1">
        <row r="4">
          <cell r="D4">
            <v>1234</v>
          </cell>
          <cell r="AA4">
            <v>6863</v>
          </cell>
          <cell r="AU4">
            <v>2886</v>
          </cell>
          <cell r="BE4">
            <v>2500</v>
          </cell>
          <cell r="BF4">
            <v>2500</v>
          </cell>
        </row>
        <row r="8">
          <cell r="D8">
            <v>10</v>
          </cell>
          <cell r="AA8">
            <v>8</v>
          </cell>
          <cell r="AU8">
            <v>6</v>
          </cell>
          <cell r="BE8">
            <v>6</v>
          </cell>
          <cell r="BF8">
            <v>6</v>
          </cell>
        </row>
        <row r="9">
          <cell r="D9">
            <v>7</v>
          </cell>
          <cell r="AA9">
            <v>4</v>
          </cell>
          <cell r="AU9">
            <v>4</v>
          </cell>
          <cell r="BE9">
            <v>4</v>
          </cell>
          <cell r="BF9">
            <v>4</v>
          </cell>
        </row>
        <row r="10">
          <cell r="D10">
            <v>2</v>
          </cell>
          <cell r="AA10">
            <v>2</v>
          </cell>
          <cell r="AU10">
            <v>2</v>
          </cell>
          <cell r="BE10">
            <v>2</v>
          </cell>
          <cell r="BF10">
            <v>2</v>
          </cell>
        </row>
        <row r="11">
          <cell r="D11">
            <v>9</v>
          </cell>
          <cell r="AA11">
            <v>4</v>
          </cell>
          <cell r="AU11">
            <v>3</v>
          </cell>
          <cell r="BE11">
            <v>4</v>
          </cell>
          <cell r="BF11">
            <v>4</v>
          </cell>
        </row>
        <row r="12">
          <cell r="D12">
            <v>1</v>
          </cell>
          <cell r="AA12">
            <v>2</v>
          </cell>
          <cell r="AU12">
            <v>3</v>
          </cell>
          <cell r="BE12">
            <v>3</v>
          </cell>
          <cell r="BF12">
            <v>3</v>
          </cell>
        </row>
        <row r="13">
          <cell r="D13">
            <v>1</v>
          </cell>
          <cell r="AA13">
            <v>3</v>
          </cell>
          <cell r="AU13">
            <v>3</v>
          </cell>
          <cell r="BE13">
            <v>3</v>
          </cell>
          <cell r="BF13">
            <v>3</v>
          </cell>
        </row>
        <row r="14">
          <cell r="D14">
            <v>2</v>
          </cell>
          <cell r="AA14">
            <v>2</v>
          </cell>
          <cell r="AU14">
            <v>2</v>
          </cell>
          <cell r="BE14">
            <v>2</v>
          </cell>
          <cell r="BF14">
            <v>2</v>
          </cell>
        </row>
        <row r="15">
          <cell r="D15">
            <v>0</v>
          </cell>
          <cell r="AA15">
            <v>0</v>
          </cell>
          <cell r="AU15">
            <v>1</v>
          </cell>
          <cell r="BE15">
            <v>1</v>
          </cell>
          <cell r="BF15">
            <v>1</v>
          </cell>
        </row>
        <row r="16">
          <cell r="D16">
            <v>2</v>
          </cell>
          <cell r="AA16">
            <v>2</v>
          </cell>
          <cell r="AU16">
            <v>3</v>
          </cell>
          <cell r="BE16">
            <v>3</v>
          </cell>
          <cell r="BF16">
            <v>3</v>
          </cell>
        </row>
        <row r="17">
          <cell r="D17">
            <v>5</v>
          </cell>
          <cell r="AA17">
            <v>4</v>
          </cell>
          <cell r="AU17">
            <v>4</v>
          </cell>
          <cell r="BE17">
            <v>4</v>
          </cell>
          <cell r="BF17">
            <v>4</v>
          </cell>
        </row>
        <row r="18">
          <cell r="D18">
            <v>1</v>
          </cell>
          <cell r="AA18">
            <v>3</v>
          </cell>
          <cell r="AU18">
            <v>3</v>
          </cell>
          <cell r="BE18">
            <v>3</v>
          </cell>
          <cell r="BF18">
            <v>3</v>
          </cell>
        </row>
        <row r="19">
          <cell r="D19">
            <v>0</v>
          </cell>
          <cell r="AA19">
            <v>4</v>
          </cell>
          <cell r="AU19">
            <v>3</v>
          </cell>
          <cell r="BE19">
            <v>3</v>
          </cell>
          <cell r="BF19">
            <v>3</v>
          </cell>
        </row>
        <row r="20">
          <cell r="D20"/>
          <cell r="AA20">
            <v>0</v>
          </cell>
          <cell r="AU20">
            <v>0</v>
          </cell>
          <cell r="BE20">
            <v>0</v>
          </cell>
          <cell r="BF20">
            <v>0</v>
          </cell>
        </row>
        <row r="21">
          <cell r="D21"/>
          <cell r="AA21">
            <v>2</v>
          </cell>
          <cell r="AU21">
            <v>0</v>
          </cell>
          <cell r="BE21">
            <v>0</v>
          </cell>
          <cell r="BF21">
            <v>0</v>
          </cell>
        </row>
        <row r="22">
          <cell r="D22"/>
          <cell r="AA22">
            <v>0</v>
          </cell>
          <cell r="AU22">
            <v>6</v>
          </cell>
          <cell r="BE22">
            <v>6</v>
          </cell>
          <cell r="BF22">
            <v>6</v>
          </cell>
        </row>
        <row r="23">
          <cell r="D23"/>
          <cell r="AA23">
            <v>0</v>
          </cell>
          <cell r="AU23">
            <v>5</v>
          </cell>
          <cell r="BE23">
            <v>5</v>
          </cell>
          <cell r="BF23">
            <v>5</v>
          </cell>
        </row>
        <row r="24">
          <cell r="D24"/>
          <cell r="AA24">
            <v>3</v>
          </cell>
          <cell r="AU24">
            <v>4</v>
          </cell>
          <cell r="BE24">
            <v>4</v>
          </cell>
          <cell r="BF24">
            <v>4</v>
          </cell>
        </row>
        <row r="25">
          <cell r="D25"/>
          <cell r="AA25">
            <v>0</v>
          </cell>
          <cell r="AU25">
            <v>0</v>
          </cell>
          <cell r="BE25">
            <v>0</v>
          </cell>
          <cell r="BF25">
            <v>0</v>
          </cell>
        </row>
        <row r="26">
          <cell r="D26"/>
          <cell r="AA26">
            <v>0</v>
          </cell>
          <cell r="AU26">
            <v>0</v>
          </cell>
          <cell r="BE26">
            <v>0</v>
          </cell>
          <cell r="BF26">
            <v>0</v>
          </cell>
        </row>
        <row r="27">
          <cell r="D27"/>
          <cell r="AA27">
            <v>0</v>
          </cell>
          <cell r="AU27">
            <v>0</v>
          </cell>
          <cell r="BE27">
            <v>0</v>
          </cell>
          <cell r="BF27">
            <v>0</v>
          </cell>
        </row>
        <row r="29">
          <cell r="D29"/>
          <cell r="AA29">
            <v>1</v>
          </cell>
          <cell r="AU29">
            <v>1</v>
          </cell>
          <cell r="BE29">
            <v>1</v>
          </cell>
          <cell r="BF29">
            <v>1</v>
          </cell>
        </row>
        <row r="30">
          <cell r="D30">
            <v>1</v>
          </cell>
          <cell r="AA30">
            <v>8</v>
          </cell>
          <cell r="AU30">
            <v>10</v>
          </cell>
          <cell r="BE30">
            <v>10</v>
          </cell>
          <cell r="BF30">
            <v>10</v>
          </cell>
        </row>
        <row r="31">
          <cell r="D31"/>
          <cell r="AA31">
            <v>0</v>
          </cell>
          <cell r="AU31">
            <v>0</v>
          </cell>
          <cell r="BE31">
            <v>0</v>
          </cell>
          <cell r="BF31">
            <v>0</v>
          </cell>
        </row>
        <row r="32">
          <cell r="D32"/>
          <cell r="AA32">
            <v>0</v>
          </cell>
          <cell r="AU32">
            <v>0</v>
          </cell>
          <cell r="BE32">
            <v>0</v>
          </cell>
          <cell r="BF32">
            <v>0</v>
          </cell>
        </row>
        <row r="33">
          <cell r="D33">
            <v>0</v>
          </cell>
          <cell r="AA33">
            <v>0</v>
          </cell>
          <cell r="AU33">
            <v>0</v>
          </cell>
          <cell r="BE33">
            <v>4</v>
          </cell>
          <cell r="BF33">
            <v>5</v>
          </cell>
        </row>
      </sheetData>
      <sheetData sheetId="2">
        <row r="4">
          <cell r="D4">
            <v>12429</v>
          </cell>
          <cell r="K4">
            <v>10627</v>
          </cell>
          <cell r="U4">
            <v>300</v>
          </cell>
          <cell r="V4">
            <v>1800</v>
          </cell>
          <cell r="W4">
            <v>300</v>
          </cell>
        </row>
        <row r="8">
          <cell r="D8">
            <v>3</v>
          </cell>
          <cell r="K8">
            <v>8</v>
          </cell>
          <cell r="U8">
            <v>2</v>
          </cell>
          <cell r="V8">
            <v>2</v>
          </cell>
          <cell r="W8">
            <v>2</v>
          </cell>
        </row>
        <row r="9">
          <cell r="D9">
            <v>1</v>
          </cell>
          <cell r="K9">
            <v>2</v>
          </cell>
          <cell r="U9">
            <v>2</v>
          </cell>
          <cell r="V9"/>
          <cell r="W9"/>
        </row>
        <row r="10">
          <cell r="D10">
            <v>5</v>
          </cell>
          <cell r="K10">
            <v>2</v>
          </cell>
          <cell r="U10">
            <v>1</v>
          </cell>
          <cell r="V10">
            <v>1</v>
          </cell>
          <cell r="W10">
            <v>1</v>
          </cell>
        </row>
        <row r="11">
          <cell r="D11">
            <v>0</v>
          </cell>
          <cell r="K11">
            <v>3</v>
          </cell>
          <cell r="U11">
            <v>1</v>
          </cell>
          <cell r="V11">
            <v>1</v>
          </cell>
          <cell r="W11">
            <v>1</v>
          </cell>
        </row>
        <row r="12">
          <cell r="D12">
            <v>0</v>
          </cell>
          <cell r="K12">
            <v>3</v>
          </cell>
          <cell r="U12">
            <v>1</v>
          </cell>
          <cell r="V12">
            <v>1</v>
          </cell>
          <cell r="W12">
            <v>1</v>
          </cell>
        </row>
        <row r="13">
          <cell r="D13">
            <v>1</v>
          </cell>
          <cell r="K13">
            <v>5</v>
          </cell>
          <cell r="U13">
            <v>1</v>
          </cell>
          <cell r="V13">
            <v>0</v>
          </cell>
          <cell r="W13">
            <v>0</v>
          </cell>
        </row>
        <row r="14">
          <cell r="D14">
            <v>0</v>
          </cell>
          <cell r="K14">
            <v>0</v>
          </cell>
          <cell r="U14">
            <v>1</v>
          </cell>
          <cell r="V14">
            <v>0</v>
          </cell>
          <cell r="W14">
            <v>1</v>
          </cell>
        </row>
        <row r="15">
          <cell r="D15">
            <v>0</v>
          </cell>
          <cell r="K15">
            <v>0</v>
          </cell>
          <cell r="U15">
            <v>1</v>
          </cell>
          <cell r="V15">
            <v>0</v>
          </cell>
          <cell r="W15">
            <v>1</v>
          </cell>
        </row>
        <row r="16">
          <cell r="D16">
            <v>2</v>
          </cell>
          <cell r="K16">
            <v>3</v>
          </cell>
          <cell r="U16">
            <v>1</v>
          </cell>
          <cell r="V16">
            <v>1</v>
          </cell>
          <cell r="W16">
            <v>1</v>
          </cell>
        </row>
        <row r="17">
          <cell r="D17">
            <v>0</v>
          </cell>
          <cell r="K17">
            <v>1</v>
          </cell>
          <cell r="U17">
            <v>1</v>
          </cell>
          <cell r="V17">
            <v>3</v>
          </cell>
          <cell r="W17">
            <v>3</v>
          </cell>
        </row>
        <row r="18">
          <cell r="D18">
            <v>0</v>
          </cell>
          <cell r="K18">
            <v>2</v>
          </cell>
          <cell r="U18">
            <v>1</v>
          </cell>
          <cell r="V18">
            <v>0</v>
          </cell>
          <cell r="W18">
            <v>0</v>
          </cell>
        </row>
        <row r="19">
          <cell r="D19">
            <v>1</v>
          </cell>
          <cell r="K19">
            <v>1</v>
          </cell>
          <cell r="U19">
            <v>1</v>
          </cell>
          <cell r="V19">
            <v>0</v>
          </cell>
          <cell r="W19">
            <v>0</v>
          </cell>
        </row>
        <row r="20">
          <cell r="D20">
            <v>0</v>
          </cell>
          <cell r="K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D21"/>
          <cell r="K21">
            <v>0</v>
          </cell>
          <cell r="U21">
            <v>0</v>
          </cell>
          <cell r="V21">
            <v>0</v>
          </cell>
          <cell r="W21">
            <v>0</v>
          </cell>
        </row>
        <row r="22">
          <cell r="D22">
            <v>5</v>
          </cell>
          <cell r="K22">
            <v>0</v>
          </cell>
          <cell r="U22">
            <v>1</v>
          </cell>
          <cell r="V22">
            <v>1</v>
          </cell>
          <cell r="W22">
            <v>1</v>
          </cell>
        </row>
        <row r="23">
          <cell r="D23"/>
          <cell r="K23">
            <v>0</v>
          </cell>
          <cell r="U23">
            <v>0</v>
          </cell>
          <cell r="V23">
            <v>0</v>
          </cell>
          <cell r="W23">
            <v>0</v>
          </cell>
        </row>
        <row r="24">
          <cell r="D24"/>
          <cell r="K24">
            <v>0</v>
          </cell>
          <cell r="U24"/>
          <cell r="V24"/>
          <cell r="W24"/>
        </row>
        <row r="25">
          <cell r="D25"/>
          <cell r="K25">
            <v>0</v>
          </cell>
          <cell r="U25">
            <v>0</v>
          </cell>
          <cell r="V25">
            <v>0</v>
          </cell>
          <cell r="W25">
            <v>0</v>
          </cell>
        </row>
        <row r="26">
          <cell r="D26"/>
          <cell r="K26">
            <v>0</v>
          </cell>
          <cell r="U26">
            <v>0</v>
          </cell>
          <cell r="V26">
            <v>0</v>
          </cell>
          <cell r="W26">
            <v>0</v>
          </cell>
        </row>
        <row r="27">
          <cell r="D27"/>
          <cell r="K27">
            <v>0</v>
          </cell>
          <cell r="U27">
            <v>0</v>
          </cell>
          <cell r="V27">
            <v>0</v>
          </cell>
          <cell r="W27">
            <v>0</v>
          </cell>
        </row>
        <row r="29">
          <cell r="D29"/>
          <cell r="K29">
            <v>0</v>
          </cell>
          <cell r="U29"/>
          <cell r="V29"/>
          <cell r="W29"/>
        </row>
        <row r="30">
          <cell r="D30">
            <v>0</v>
          </cell>
          <cell r="K30">
            <v>0</v>
          </cell>
          <cell r="U30"/>
          <cell r="V30"/>
          <cell r="W30"/>
        </row>
        <row r="31">
          <cell r="D31"/>
          <cell r="K31">
            <v>0</v>
          </cell>
          <cell r="U31">
            <v>0</v>
          </cell>
          <cell r="V31">
            <v>0</v>
          </cell>
          <cell r="W31">
            <v>0</v>
          </cell>
        </row>
        <row r="32">
          <cell r="D32">
            <v>0</v>
          </cell>
          <cell r="K32">
            <v>0</v>
          </cell>
          <cell r="U32">
            <v>1</v>
          </cell>
          <cell r="V32">
            <v>1</v>
          </cell>
          <cell r="W32">
            <v>1</v>
          </cell>
        </row>
        <row r="33">
          <cell r="D33">
            <v>0</v>
          </cell>
          <cell r="K33">
            <v>0</v>
          </cell>
          <cell r="U33">
            <v>0.5</v>
          </cell>
          <cell r="V33">
            <v>0.5</v>
          </cell>
          <cell r="W33">
            <v>0.5</v>
          </cell>
        </row>
      </sheetData>
      <sheetData sheetId="3">
        <row r="4">
          <cell r="D4">
            <v>8318</v>
          </cell>
          <cell r="M4">
            <v>361</v>
          </cell>
          <cell r="U4">
            <v>916</v>
          </cell>
          <cell r="V4">
            <v>916</v>
          </cell>
          <cell r="W4">
            <v>916</v>
          </cell>
        </row>
        <row r="8">
          <cell r="D8">
            <v>5</v>
          </cell>
          <cell r="M8">
            <v>6</v>
          </cell>
          <cell r="U8">
            <v>1</v>
          </cell>
          <cell r="V8">
            <v>1</v>
          </cell>
          <cell r="W8">
            <v>1</v>
          </cell>
        </row>
        <row r="9">
          <cell r="D9">
            <v>3</v>
          </cell>
          <cell r="M9">
            <v>2</v>
          </cell>
          <cell r="U9">
            <v>1</v>
          </cell>
          <cell r="V9">
            <v>1</v>
          </cell>
          <cell r="W9">
            <v>1</v>
          </cell>
        </row>
        <row r="10">
          <cell r="D10">
            <v>2</v>
          </cell>
          <cell r="M10">
            <v>1</v>
          </cell>
          <cell r="U10">
            <v>1</v>
          </cell>
          <cell r="V10">
            <v>1</v>
          </cell>
          <cell r="W10">
            <v>1</v>
          </cell>
        </row>
        <row r="11">
          <cell r="D11">
            <v>5</v>
          </cell>
          <cell r="M11">
            <v>4</v>
          </cell>
          <cell r="U11">
            <v>2</v>
          </cell>
          <cell r="V11">
            <v>2</v>
          </cell>
          <cell r="W11">
            <v>2</v>
          </cell>
        </row>
        <row r="12">
          <cell r="D12">
            <v>0</v>
          </cell>
          <cell r="M12">
            <v>1</v>
          </cell>
          <cell r="U12">
            <v>1</v>
          </cell>
          <cell r="V12">
            <v>1</v>
          </cell>
          <cell r="W12">
            <v>1</v>
          </cell>
        </row>
        <row r="13">
          <cell r="D13">
            <v>1</v>
          </cell>
          <cell r="M13">
            <v>2</v>
          </cell>
          <cell r="U13">
            <v>1</v>
          </cell>
          <cell r="V13">
            <v>1</v>
          </cell>
          <cell r="W13">
            <v>1</v>
          </cell>
        </row>
        <row r="14">
          <cell r="D14">
            <v>0</v>
          </cell>
          <cell r="M14">
            <v>1</v>
          </cell>
          <cell r="U14">
            <v>1</v>
          </cell>
          <cell r="V14">
            <v>1</v>
          </cell>
          <cell r="W14">
            <v>1</v>
          </cell>
        </row>
        <row r="15">
          <cell r="D15">
            <v>0</v>
          </cell>
          <cell r="M15">
            <v>0</v>
          </cell>
          <cell r="U15">
            <v>1</v>
          </cell>
          <cell r="V15">
            <v>1</v>
          </cell>
          <cell r="W15">
            <v>1</v>
          </cell>
        </row>
        <row r="16">
          <cell r="D16">
            <v>3</v>
          </cell>
          <cell r="M16">
            <v>2</v>
          </cell>
          <cell r="U16">
            <v>1</v>
          </cell>
          <cell r="V16">
            <v>1</v>
          </cell>
          <cell r="W16">
            <v>1</v>
          </cell>
        </row>
        <row r="17">
          <cell r="D17">
            <v>4</v>
          </cell>
          <cell r="M17">
            <v>3</v>
          </cell>
          <cell r="U17">
            <v>2</v>
          </cell>
          <cell r="V17">
            <v>2</v>
          </cell>
          <cell r="W17">
            <v>2</v>
          </cell>
        </row>
        <row r="18">
          <cell r="D18">
            <v>2</v>
          </cell>
          <cell r="M18">
            <v>0</v>
          </cell>
          <cell r="U18">
            <v>1</v>
          </cell>
          <cell r="V18">
            <v>1</v>
          </cell>
          <cell r="W18">
            <v>1</v>
          </cell>
        </row>
        <row r="19">
          <cell r="D19">
            <v>0</v>
          </cell>
          <cell r="M19">
            <v>0</v>
          </cell>
          <cell r="U19">
            <v>1</v>
          </cell>
          <cell r="V19">
            <v>1</v>
          </cell>
          <cell r="W19">
            <v>1</v>
          </cell>
        </row>
        <row r="20">
          <cell r="D20">
            <v>0</v>
          </cell>
          <cell r="M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D21">
            <v>0</v>
          </cell>
          <cell r="M21">
            <v>0</v>
          </cell>
          <cell r="U21">
            <v>0</v>
          </cell>
          <cell r="V21">
            <v>0</v>
          </cell>
          <cell r="W21">
            <v>0</v>
          </cell>
        </row>
        <row r="22">
          <cell r="D22">
            <v>0</v>
          </cell>
          <cell r="M22">
            <v>0</v>
          </cell>
          <cell r="U22">
            <v>0</v>
          </cell>
          <cell r="V22">
            <v>0</v>
          </cell>
          <cell r="W22">
            <v>0</v>
          </cell>
        </row>
        <row r="23">
          <cell r="D23">
            <v>28</v>
          </cell>
          <cell r="M23">
            <v>0</v>
          </cell>
          <cell r="U23">
            <v>0</v>
          </cell>
          <cell r="V23">
            <v>0</v>
          </cell>
          <cell r="W23">
            <v>0</v>
          </cell>
        </row>
        <row r="24">
          <cell r="D24">
            <v>4</v>
          </cell>
          <cell r="M24">
            <v>3</v>
          </cell>
          <cell r="U24">
            <v>2</v>
          </cell>
          <cell r="V24">
            <v>2</v>
          </cell>
          <cell r="W24">
            <v>2</v>
          </cell>
        </row>
        <row r="25">
          <cell r="D25">
            <v>0</v>
          </cell>
          <cell r="M25">
            <v>0</v>
          </cell>
          <cell r="U25">
            <v>0</v>
          </cell>
          <cell r="V25">
            <v>0</v>
          </cell>
          <cell r="W25">
            <v>0</v>
          </cell>
        </row>
        <row r="26">
          <cell r="D26">
            <v>0</v>
          </cell>
          <cell r="M26">
            <v>0</v>
          </cell>
          <cell r="U26">
            <v>0</v>
          </cell>
          <cell r="V26">
            <v>0</v>
          </cell>
          <cell r="W26">
            <v>0</v>
          </cell>
        </row>
        <row r="27">
          <cell r="D27">
            <v>0</v>
          </cell>
          <cell r="M27">
            <v>0</v>
          </cell>
          <cell r="U27">
            <v>0</v>
          </cell>
          <cell r="V27">
            <v>0</v>
          </cell>
          <cell r="W27">
            <v>0</v>
          </cell>
        </row>
        <row r="29">
          <cell r="D29">
            <v>0</v>
          </cell>
          <cell r="M29">
            <v>0</v>
          </cell>
          <cell r="U29">
            <v>0</v>
          </cell>
          <cell r="V29">
            <v>0</v>
          </cell>
          <cell r="W29">
            <v>0</v>
          </cell>
        </row>
        <row r="30">
          <cell r="D30">
            <v>0</v>
          </cell>
          <cell r="M30">
            <v>0</v>
          </cell>
          <cell r="U30">
            <v>0</v>
          </cell>
          <cell r="V30">
            <v>0</v>
          </cell>
          <cell r="W30">
            <v>0</v>
          </cell>
        </row>
        <row r="31">
          <cell r="D31">
            <v>0</v>
          </cell>
          <cell r="M31">
            <v>0</v>
          </cell>
          <cell r="U31">
            <v>0</v>
          </cell>
          <cell r="V31">
            <v>0</v>
          </cell>
          <cell r="W31">
            <v>0</v>
          </cell>
        </row>
        <row r="32">
          <cell r="D32">
            <v>0</v>
          </cell>
          <cell r="M32">
            <v>1</v>
          </cell>
          <cell r="U32">
            <v>1</v>
          </cell>
          <cell r="V32">
            <v>0</v>
          </cell>
          <cell r="W32">
            <v>0</v>
          </cell>
        </row>
        <row r="33">
          <cell r="D33">
            <v>0</v>
          </cell>
          <cell r="M33">
            <v>1</v>
          </cell>
          <cell r="U33">
            <v>0</v>
          </cell>
          <cell r="V33">
            <v>0</v>
          </cell>
          <cell r="W33">
            <v>0</v>
          </cell>
        </row>
      </sheetData>
      <sheetData sheetId="4">
        <row r="4">
          <cell r="D4">
            <v>2609</v>
          </cell>
          <cell r="N4">
            <v>701</v>
          </cell>
          <cell r="X4">
            <v>350</v>
          </cell>
          <cell r="Y4">
            <v>350</v>
          </cell>
          <cell r="Z4">
            <v>350</v>
          </cell>
        </row>
        <row r="8">
          <cell r="D8">
            <v>6</v>
          </cell>
          <cell r="N8">
            <v>5</v>
          </cell>
          <cell r="X8">
            <v>3</v>
          </cell>
          <cell r="Y8">
            <v>3</v>
          </cell>
          <cell r="Z8">
            <v>3</v>
          </cell>
        </row>
        <row r="9">
          <cell r="D9">
            <v>0</v>
          </cell>
          <cell r="N9">
            <v>1</v>
          </cell>
          <cell r="X9">
            <v>1</v>
          </cell>
          <cell r="Y9">
            <v>1</v>
          </cell>
          <cell r="Z9">
            <v>1</v>
          </cell>
        </row>
        <row r="10">
          <cell r="D10">
            <v>2</v>
          </cell>
          <cell r="N10">
            <v>2</v>
          </cell>
          <cell r="X10">
            <v>3</v>
          </cell>
          <cell r="Y10">
            <v>3</v>
          </cell>
          <cell r="Z10">
            <v>3</v>
          </cell>
        </row>
        <row r="11">
          <cell r="D11">
            <v>6</v>
          </cell>
          <cell r="N11">
            <v>2</v>
          </cell>
          <cell r="X11">
            <v>3</v>
          </cell>
          <cell r="Y11">
            <v>3</v>
          </cell>
          <cell r="Z11">
            <v>3</v>
          </cell>
        </row>
        <row r="12">
          <cell r="D12">
            <v>0</v>
          </cell>
          <cell r="N12">
            <v>0</v>
          </cell>
          <cell r="X12">
            <v>2</v>
          </cell>
          <cell r="Y12">
            <v>2</v>
          </cell>
          <cell r="Z12">
            <v>2</v>
          </cell>
        </row>
        <row r="13">
          <cell r="D13">
            <v>5</v>
          </cell>
          <cell r="N13">
            <v>2</v>
          </cell>
          <cell r="X13">
            <v>2</v>
          </cell>
          <cell r="Y13">
            <v>2</v>
          </cell>
          <cell r="Z13">
            <v>2</v>
          </cell>
        </row>
        <row r="14">
          <cell r="D14">
            <v>6</v>
          </cell>
          <cell r="N14">
            <v>3</v>
          </cell>
          <cell r="X14">
            <v>3</v>
          </cell>
          <cell r="Y14">
            <v>3</v>
          </cell>
          <cell r="Z14">
            <v>3</v>
          </cell>
        </row>
        <row r="15">
          <cell r="D15">
            <v>0</v>
          </cell>
          <cell r="N15">
            <v>0</v>
          </cell>
          <cell r="X15">
            <v>1</v>
          </cell>
          <cell r="Y15">
            <v>1</v>
          </cell>
          <cell r="Z15">
            <v>1</v>
          </cell>
        </row>
        <row r="16">
          <cell r="D16">
            <v>0</v>
          </cell>
          <cell r="N16">
            <v>0</v>
          </cell>
          <cell r="X16">
            <v>1</v>
          </cell>
          <cell r="Y16">
            <v>1</v>
          </cell>
          <cell r="Z16">
            <v>1</v>
          </cell>
        </row>
        <row r="17">
          <cell r="D17">
            <v>9</v>
          </cell>
          <cell r="N17">
            <v>6</v>
          </cell>
          <cell r="X17">
            <v>1</v>
          </cell>
          <cell r="Y17">
            <v>1</v>
          </cell>
          <cell r="Z17">
            <v>1</v>
          </cell>
        </row>
        <row r="18">
          <cell r="D18">
            <v>2</v>
          </cell>
          <cell r="N18">
            <v>4</v>
          </cell>
          <cell r="X18">
            <v>1</v>
          </cell>
          <cell r="Y18">
            <v>1</v>
          </cell>
          <cell r="Z18">
            <v>1</v>
          </cell>
        </row>
        <row r="19">
          <cell r="D19">
            <v>4</v>
          </cell>
          <cell r="N19">
            <v>2</v>
          </cell>
          <cell r="X19">
            <v>1</v>
          </cell>
          <cell r="Y19">
            <v>1</v>
          </cell>
          <cell r="Z19">
            <v>1</v>
          </cell>
        </row>
        <row r="20">
          <cell r="D20"/>
          <cell r="N20">
            <v>0</v>
          </cell>
          <cell r="X20"/>
          <cell r="Y20"/>
          <cell r="Z20"/>
        </row>
        <row r="21">
          <cell r="D21"/>
          <cell r="N21">
            <v>0</v>
          </cell>
          <cell r="X21"/>
          <cell r="Y21"/>
          <cell r="Z21"/>
        </row>
        <row r="22">
          <cell r="D22"/>
          <cell r="N22">
            <v>1</v>
          </cell>
          <cell r="X22"/>
          <cell r="Y22"/>
          <cell r="Z22"/>
        </row>
        <row r="23">
          <cell r="D23"/>
          <cell r="N23">
            <v>2</v>
          </cell>
          <cell r="X23"/>
          <cell r="Y23"/>
          <cell r="Z23"/>
        </row>
        <row r="24">
          <cell r="D24"/>
          <cell r="N24">
            <v>2</v>
          </cell>
          <cell r="X24"/>
          <cell r="Y24"/>
          <cell r="Z24"/>
        </row>
        <row r="25">
          <cell r="D25"/>
          <cell r="N25">
            <v>0</v>
          </cell>
          <cell r="X25"/>
          <cell r="Y25"/>
          <cell r="Z25"/>
        </row>
        <row r="26">
          <cell r="D26"/>
          <cell r="N26">
            <v>0</v>
          </cell>
          <cell r="X26"/>
          <cell r="Y26"/>
          <cell r="Z26"/>
        </row>
        <row r="27">
          <cell r="D27"/>
          <cell r="N27">
            <v>0</v>
          </cell>
          <cell r="X27"/>
          <cell r="Y27"/>
          <cell r="Z27"/>
        </row>
        <row r="29">
          <cell r="D29"/>
          <cell r="N29">
            <v>0</v>
          </cell>
          <cell r="X29"/>
          <cell r="Y29"/>
          <cell r="Z29"/>
        </row>
        <row r="30">
          <cell r="D30">
            <v>0</v>
          </cell>
          <cell r="N30">
            <v>3</v>
          </cell>
          <cell r="X30"/>
          <cell r="Y30"/>
          <cell r="Z30"/>
        </row>
        <row r="31">
          <cell r="D31"/>
          <cell r="N31">
            <v>0</v>
          </cell>
          <cell r="X31"/>
          <cell r="Y31"/>
          <cell r="Z31"/>
        </row>
        <row r="32">
          <cell r="D32"/>
          <cell r="N32">
            <v>0</v>
          </cell>
          <cell r="X32"/>
          <cell r="Y32"/>
          <cell r="Z32"/>
        </row>
        <row r="33">
          <cell r="D33">
            <v>2</v>
          </cell>
          <cell r="N33">
            <v>0</v>
          </cell>
          <cell r="X33">
            <v>2</v>
          </cell>
          <cell r="Y33">
            <v>2</v>
          </cell>
          <cell r="Z33">
            <v>2</v>
          </cell>
        </row>
      </sheetData>
      <sheetData sheetId="5"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E840-8046-954A-B4CE-56E7F2F5A589}">
  <dimension ref="A1:AG996"/>
  <sheetViews>
    <sheetView tabSelected="1" zoomScale="125" zoomScaleNormal="86" workbookViewId="0">
      <pane xSplit="2" ySplit="1" topLeftCell="C2" activePane="bottomRight" state="frozen"/>
      <selection pane="topRight" activeCell="D1" sqref="D1"/>
      <selection pane="bottomLeft" activeCell="A3" sqref="A3"/>
      <selection pane="bottomRight" activeCell="F27" sqref="F27"/>
    </sheetView>
  </sheetViews>
  <sheetFormatPr baseColWidth="10" defaultColWidth="14.5" defaultRowHeight="15" customHeight="1" x14ac:dyDescent="0.2"/>
  <cols>
    <col min="1" max="1" width="29.1640625" customWidth="1"/>
    <col min="2" max="2" width="17.6640625" customWidth="1"/>
    <col min="3" max="8" width="10.33203125" customWidth="1"/>
    <col min="9" max="33" width="10.6640625" customWidth="1"/>
  </cols>
  <sheetData>
    <row r="1" spans="1:33" ht="57.75" customHeight="1" x14ac:dyDescent="0.2">
      <c r="A1" s="35" t="s">
        <v>0</v>
      </c>
      <c r="B1" s="35" t="s">
        <v>38</v>
      </c>
      <c r="C1" s="21" t="s">
        <v>1</v>
      </c>
      <c r="D1" s="22"/>
      <c r="E1" s="22"/>
      <c r="F1" s="22"/>
      <c r="G1" s="22"/>
      <c r="H1" s="22"/>
      <c r="I1" s="21" t="s">
        <v>2</v>
      </c>
      <c r="J1" s="22"/>
      <c r="K1" s="22"/>
      <c r="L1" s="22"/>
      <c r="M1" s="22"/>
      <c r="N1" s="22"/>
      <c r="O1" s="21" t="s">
        <v>3</v>
      </c>
      <c r="P1" s="22"/>
      <c r="Q1" s="22"/>
      <c r="R1" s="22"/>
      <c r="S1" s="22"/>
      <c r="T1" s="22"/>
      <c r="U1" s="21" t="s">
        <v>4</v>
      </c>
      <c r="V1" s="22"/>
      <c r="W1" s="22"/>
      <c r="X1" s="22"/>
      <c r="Y1" s="22"/>
      <c r="Z1" s="22"/>
      <c r="AA1" s="21" t="s">
        <v>5</v>
      </c>
      <c r="AB1" s="22"/>
      <c r="AC1" s="22"/>
      <c r="AD1" s="22"/>
      <c r="AE1" s="22"/>
      <c r="AF1" s="22"/>
      <c r="AG1" s="1"/>
    </row>
    <row r="2" spans="1:33" ht="22.5" customHeight="1" x14ac:dyDescent="0.2">
      <c r="A2" s="36"/>
      <c r="B2" s="36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  <c r="T2" s="2" t="s">
        <v>11</v>
      </c>
      <c r="U2" s="2" t="s">
        <v>6</v>
      </c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6</v>
      </c>
      <c r="AB2" s="2" t="s">
        <v>7</v>
      </c>
      <c r="AC2" s="2" t="s">
        <v>8</v>
      </c>
      <c r="AD2" s="2" t="s">
        <v>9</v>
      </c>
      <c r="AE2" s="2" t="s">
        <v>10</v>
      </c>
      <c r="AF2" s="2" t="s">
        <v>11</v>
      </c>
    </row>
    <row r="3" spans="1:33" ht="45" customHeight="1" x14ac:dyDescent="0.2">
      <c r="A3" s="27" t="s">
        <v>12</v>
      </c>
      <c r="B3" s="28" t="s">
        <v>39</v>
      </c>
      <c r="C3" s="4">
        <f>[1]IE!D4</f>
        <v>1234</v>
      </c>
      <c r="D3" s="4">
        <f>[1]Educación!D4</f>
        <v>12429</v>
      </c>
      <c r="E3" s="4">
        <f>[1]ADTCA!D4</f>
        <v>2609</v>
      </c>
      <c r="F3" s="4">
        <f>[1]DSC!D4</f>
        <v>8318</v>
      </c>
      <c r="G3" s="4"/>
      <c r="H3" s="4"/>
      <c r="I3" s="5">
        <f>[1]IE!AA4</f>
        <v>6863</v>
      </c>
      <c r="J3" s="3">
        <f>[1]Educación!K4</f>
        <v>10627</v>
      </c>
      <c r="K3" s="3">
        <f>[1]ADTCA!N4</f>
        <v>701</v>
      </c>
      <c r="L3" s="4">
        <f>[1]DSC!M4</f>
        <v>361</v>
      </c>
      <c r="M3" s="3"/>
      <c r="N3" s="3"/>
      <c r="O3" s="4">
        <f>[1]IE!AU4</f>
        <v>2886</v>
      </c>
      <c r="P3" s="4">
        <f>[1]Educación!U4</f>
        <v>300</v>
      </c>
      <c r="Q3" s="4">
        <f>[1]ADTCA!X4</f>
        <v>350</v>
      </c>
      <c r="R3" s="4">
        <f>[1]DSC!U4</f>
        <v>916</v>
      </c>
      <c r="S3" s="3"/>
      <c r="T3" s="3"/>
      <c r="U3" s="4">
        <f>[1]IE!BE4</f>
        <v>2500</v>
      </c>
      <c r="V3" s="6">
        <f>[1]Educación!V4</f>
        <v>1800</v>
      </c>
      <c r="W3" s="6">
        <f>[1]ADTCA!Y4</f>
        <v>350</v>
      </c>
      <c r="X3" s="6">
        <f>[1]DSC!V4</f>
        <v>916</v>
      </c>
      <c r="Y3" s="6"/>
      <c r="Z3" s="6"/>
      <c r="AA3" s="6">
        <f>[1]IE!BF4</f>
        <v>2500</v>
      </c>
      <c r="AB3" s="6">
        <f>[1]Educación!W4</f>
        <v>300</v>
      </c>
      <c r="AC3" s="6">
        <f>[1]ADTCA!Z4</f>
        <v>350</v>
      </c>
      <c r="AD3" s="6">
        <f>[1]DSC!W4</f>
        <v>916</v>
      </c>
      <c r="AE3" s="6"/>
      <c r="AF3" s="6"/>
    </row>
    <row r="4" spans="1:33" ht="43.5" customHeight="1" x14ac:dyDescent="0.2">
      <c r="A4" s="29" t="s">
        <v>41</v>
      </c>
      <c r="B4" s="30" t="s">
        <v>40</v>
      </c>
      <c r="C4" s="4">
        <f>[1]IE!D8</f>
        <v>10</v>
      </c>
      <c r="D4" s="4">
        <f>[1]Educación!D8</f>
        <v>3</v>
      </c>
      <c r="E4" s="4">
        <f>[1]ADTCA!D8</f>
        <v>6</v>
      </c>
      <c r="F4" s="4">
        <f>[1]DSC!D8</f>
        <v>5</v>
      </c>
      <c r="G4" s="20"/>
      <c r="H4" s="4"/>
      <c r="I4" s="5">
        <f>[1]IE!AA8</f>
        <v>8</v>
      </c>
      <c r="J4" s="3">
        <f>[1]Educación!K8</f>
        <v>8</v>
      </c>
      <c r="K4" s="3">
        <f>[1]ADTCA!N8</f>
        <v>5</v>
      </c>
      <c r="L4" s="4">
        <f>[1]DSC!M8</f>
        <v>6</v>
      </c>
      <c r="M4" s="4"/>
      <c r="N4" s="4"/>
      <c r="O4" s="4">
        <f>[1]IE!AU8</f>
        <v>6</v>
      </c>
      <c r="P4" s="4">
        <f>[1]Educación!U8</f>
        <v>2</v>
      </c>
      <c r="Q4" s="4">
        <f>[1]ADTCA!X8</f>
        <v>3</v>
      </c>
      <c r="R4" s="4">
        <f>[1]DSC!U8</f>
        <v>1</v>
      </c>
      <c r="S4" s="4"/>
      <c r="T4" s="4"/>
      <c r="U4" s="4">
        <f>[1]IE!BE8</f>
        <v>6</v>
      </c>
      <c r="V4" s="6">
        <f>[1]Educación!V8</f>
        <v>2</v>
      </c>
      <c r="W4" s="6">
        <f>[1]ADTCA!Y8</f>
        <v>3</v>
      </c>
      <c r="X4" s="6">
        <f>[1]DSC!V8</f>
        <v>1</v>
      </c>
      <c r="Y4" s="6"/>
      <c r="Z4" s="6"/>
      <c r="AA4" s="6">
        <f>[1]IE!BF8</f>
        <v>6</v>
      </c>
      <c r="AB4" s="6">
        <f>[1]Educación!W8</f>
        <v>2</v>
      </c>
      <c r="AC4" s="6">
        <f>[1]ADTCA!Z8</f>
        <v>3</v>
      </c>
      <c r="AD4" s="6">
        <f>[1]DSC!W8</f>
        <v>1</v>
      </c>
      <c r="AE4" s="6"/>
      <c r="AF4" s="6"/>
    </row>
    <row r="5" spans="1:33" ht="57.75" customHeight="1" x14ac:dyDescent="0.2">
      <c r="A5" s="31" t="s">
        <v>13</v>
      </c>
      <c r="B5" s="32" t="s">
        <v>42</v>
      </c>
      <c r="C5" s="7">
        <f>[1]IE!D9</f>
        <v>7</v>
      </c>
      <c r="D5" s="7">
        <f>[1]Educación!D9</f>
        <v>1</v>
      </c>
      <c r="E5" s="7">
        <f>[1]ADTCA!D9</f>
        <v>0</v>
      </c>
      <c r="F5" s="7">
        <f>[1]DSC!D9</f>
        <v>3</v>
      </c>
      <c r="G5" s="7"/>
      <c r="H5" s="7"/>
      <c r="I5" s="8">
        <f>[1]IE!AA9</f>
        <v>4</v>
      </c>
      <c r="J5" s="2">
        <f>[1]Educación!K9</f>
        <v>2</v>
      </c>
      <c r="K5" s="2">
        <f>[1]ADTCA!N9</f>
        <v>1</v>
      </c>
      <c r="L5" s="7">
        <f>[1]DSC!M9</f>
        <v>2</v>
      </c>
      <c r="M5" s="7"/>
      <c r="N5" s="7"/>
      <c r="O5" s="7">
        <f>[1]IE!AU9</f>
        <v>4</v>
      </c>
      <c r="P5" s="7">
        <f>[1]Educación!U9</f>
        <v>2</v>
      </c>
      <c r="Q5" s="7">
        <f>[1]ADTCA!X9</f>
        <v>1</v>
      </c>
      <c r="R5" s="7">
        <f>[1]DSC!U9</f>
        <v>1</v>
      </c>
      <c r="S5" s="7"/>
      <c r="T5" s="7"/>
      <c r="U5" s="7">
        <f>[1]IE!BE9</f>
        <v>4</v>
      </c>
      <c r="V5" s="9">
        <f>[1]Educación!V9</f>
        <v>0</v>
      </c>
      <c r="W5" s="9">
        <f>[1]ADTCA!Y9</f>
        <v>1</v>
      </c>
      <c r="X5" s="9">
        <f>[1]DSC!V9</f>
        <v>1</v>
      </c>
      <c r="Y5" s="9"/>
      <c r="Z5" s="9"/>
      <c r="AA5" s="9">
        <f>[1]IE!BF9</f>
        <v>4</v>
      </c>
      <c r="AB5" s="9">
        <f>[1]Educación!W9</f>
        <v>0</v>
      </c>
      <c r="AC5" s="9">
        <f>[1]ADTCA!Z9</f>
        <v>1</v>
      </c>
      <c r="AD5" s="9">
        <f>[1]DSC!W9</f>
        <v>1</v>
      </c>
      <c r="AE5" s="9"/>
      <c r="AF5" s="9"/>
    </row>
    <row r="6" spans="1:33" ht="43.5" customHeight="1" x14ac:dyDescent="0.2">
      <c r="A6" s="33" t="s">
        <v>14</v>
      </c>
      <c r="B6" s="34" t="s">
        <v>43</v>
      </c>
      <c r="C6" s="4">
        <f>[1]IE!D10</f>
        <v>2</v>
      </c>
      <c r="D6" s="4">
        <f>[1]Educación!D10</f>
        <v>5</v>
      </c>
      <c r="E6" s="4">
        <f>[1]ADTCA!D10</f>
        <v>2</v>
      </c>
      <c r="F6" s="4">
        <f>[1]DSC!D10</f>
        <v>2</v>
      </c>
      <c r="G6" s="4"/>
      <c r="H6" s="4"/>
      <c r="I6" s="5">
        <f>[1]IE!AA10</f>
        <v>2</v>
      </c>
      <c r="J6" s="3">
        <f>[1]Educación!K10</f>
        <v>2</v>
      </c>
      <c r="K6" s="3">
        <f>[1]ADTCA!N10</f>
        <v>2</v>
      </c>
      <c r="L6" s="4">
        <f>[1]DSC!M10</f>
        <v>1</v>
      </c>
      <c r="M6" s="4"/>
      <c r="N6" s="4"/>
      <c r="O6" s="4">
        <f>[1]IE!AU10</f>
        <v>2</v>
      </c>
      <c r="P6" s="4">
        <f>[1]Educación!U10</f>
        <v>1</v>
      </c>
      <c r="Q6" s="4">
        <f>[1]ADTCA!X10</f>
        <v>3</v>
      </c>
      <c r="R6" s="4">
        <f>[1]DSC!U10</f>
        <v>1</v>
      </c>
      <c r="S6" s="4"/>
      <c r="T6" s="4"/>
      <c r="U6" s="4">
        <f>[1]IE!BE10</f>
        <v>2</v>
      </c>
      <c r="V6" s="6">
        <f>[1]Educación!V10</f>
        <v>1</v>
      </c>
      <c r="W6" s="6">
        <f>[1]ADTCA!Y10</f>
        <v>3</v>
      </c>
      <c r="X6" s="6">
        <f>[1]DSC!V10</f>
        <v>1</v>
      </c>
      <c r="Y6" s="6"/>
      <c r="Z6" s="6"/>
      <c r="AA6" s="6">
        <f>[1]IE!BF10</f>
        <v>2</v>
      </c>
      <c r="AB6" s="6">
        <f>[1]Educación!W10</f>
        <v>1</v>
      </c>
      <c r="AC6" s="6">
        <f>[1]ADTCA!Z10</f>
        <v>3</v>
      </c>
      <c r="AD6" s="6">
        <f>[1]DSC!W10</f>
        <v>1</v>
      </c>
      <c r="AE6" s="6"/>
      <c r="AF6" s="6"/>
    </row>
    <row r="7" spans="1:33" ht="43.5" customHeight="1" x14ac:dyDescent="0.2">
      <c r="A7" s="27" t="s">
        <v>15</v>
      </c>
      <c r="B7" s="28" t="s">
        <v>44</v>
      </c>
      <c r="C7" s="7">
        <f>[1]IE!D11</f>
        <v>9</v>
      </c>
      <c r="D7" s="7">
        <f>[1]Educación!D11</f>
        <v>0</v>
      </c>
      <c r="E7" s="7">
        <f>[1]ADTCA!D11</f>
        <v>6</v>
      </c>
      <c r="F7" s="7">
        <f>[1]DSC!D11</f>
        <v>5</v>
      </c>
      <c r="G7" s="7"/>
      <c r="H7" s="7"/>
      <c r="I7" s="8">
        <f>[1]IE!AA11</f>
        <v>4</v>
      </c>
      <c r="J7" s="2">
        <f>[1]Educación!K11</f>
        <v>3</v>
      </c>
      <c r="K7" s="2">
        <f>[1]ADTCA!N11</f>
        <v>2</v>
      </c>
      <c r="L7" s="7">
        <f>[1]DSC!M11</f>
        <v>4</v>
      </c>
      <c r="M7" s="7"/>
      <c r="N7" s="7"/>
      <c r="O7" s="7">
        <f>[1]IE!AU11</f>
        <v>3</v>
      </c>
      <c r="P7" s="7">
        <f>[1]Educación!U11</f>
        <v>1</v>
      </c>
      <c r="Q7" s="7">
        <f>[1]ADTCA!X11</f>
        <v>3</v>
      </c>
      <c r="R7" s="7">
        <f>[1]DSC!U11</f>
        <v>2</v>
      </c>
      <c r="S7" s="7"/>
      <c r="T7" s="7"/>
      <c r="U7" s="7">
        <f>[1]IE!BE11</f>
        <v>4</v>
      </c>
      <c r="V7" s="9">
        <f>[1]Educación!V11</f>
        <v>1</v>
      </c>
      <c r="W7" s="9">
        <f>[1]ADTCA!Y11</f>
        <v>3</v>
      </c>
      <c r="X7" s="9">
        <f>[1]DSC!V11</f>
        <v>2</v>
      </c>
      <c r="Y7" s="9"/>
      <c r="Z7" s="9"/>
      <c r="AA7" s="9">
        <f>[1]IE!BF11</f>
        <v>4</v>
      </c>
      <c r="AB7" s="9">
        <f>[1]Educación!W11</f>
        <v>1</v>
      </c>
      <c r="AC7" s="9">
        <f>[1]ADTCA!Z11</f>
        <v>3</v>
      </c>
      <c r="AD7" s="9">
        <f>[1]DSC!W11</f>
        <v>2</v>
      </c>
      <c r="AE7" s="9"/>
      <c r="AF7" s="9"/>
    </row>
    <row r="8" spans="1:33" ht="57.75" customHeight="1" x14ac:dyDescent="0.2">
      <c r="A8" s="29" t="s">
        <v>16</v>
      </c>
      <c r="B8" s="30" t="s">
        <v>45</v>
      </c>
      <c r="C8" s="4">
        <f>[1]IE!D12</f>
        <v>1</v>
      </c>
      <c r="D8" s="4">
        <f>[1]Educación!D12</f>
        <v>0</v>
      </c>
      <c r="E8" s="4">
        <f>[1]ADTCA!D12</f>
        <v>0</v>
      </c>
      <c r="F8" s="4">
        <f>[1]DSC!D12</f>
        <v>0</v>
      </c>
      <c r="G8" s="4"/>
      <c r="H8" s="4"/>
      <c r="I8" s="5">
        <f>[1]IE!AA12</f>
        <v>2</v>
      </c>
      <c r="J8" s="3">
        <f>[1]Educación!K12</f>
        <v>3</v>
      </c>
      <c r="K8" s="3">
        <f>[1]ADTCA!N12</f>
        <v>0</v>
      </c>
      <c r="L8" s="4">
        <f>[1]DSC!M12</f>
        <v>1</v>
      </c>
      <c r="M8" s="4"/>
      <c r="N8" s="4"/>
      <c r="O8" s="4">
        <f>[1]IE!AU12</f>
        <v>3</v>
      </c>
      <c r="P8" s="4">
        <f>[1]Educación!U12</f>
        <v>1</v>
      </c>
      <c r="Q8" s="4">
        <f>[1]ADTCA!X12</f>
        <v>2</v>
      </c>
      <c r="R8" s="4">
        <f>[1]DSC!U12</f>
        <v>1</v>
      </c>
      <c r="S8" s="4"/>
      <c r="T8" s="4"/>
      <c r="U8" s="4">
        <f>[1]IE!BE12</f>
        <v>3</v>
      </c>
      <c r="V8" s="6">
        <f>[1]Educación!V12</f>
        <v>1</v>
      </c>
      <c r="W8" s="6">
        <f>[1]ADTCA!Y12</f>
        <v>2</v>
      </c>
      <c r="X8" s="6">
        <f>[1]DSC!V12</f>
        <v>1</v>
      </c>
      <c r="Y8" s="6"/>
      <c r="Z8" s="6"/>
      <c r="AA8" s="6">
        <f>[1]IE!BF12</f>
        <v>3</v>
      </c>
      <c r="AB8" s="6">
        <f>[1]Educación!W12</f>
        <v>1</v>
      </c>
      <c r="AC8" s="6">
        <f>[1]ADTCA!Z12</f>
        <v>2</v>
      </c>
      <c r="AD8" s="6">
        <f>[1]DSC!W12</f>
        <v>1</v>
      </c>
      <c r="AE8" s="6"/>
      <c r="AF8" s="6"/>
    </row>
    <row r="9" spans="1:33" ht="57.75" customHeight="1" x14ac:dyDescent="0.2">
      <c r="A9" s="27" t="s">
        <v>17</v>
      </c>
      <c r="B9" s="28" t="s">
        <v>46</v>
      </c>
      <c r="C9" s="7">
        <f>[1]IE!D13</f>
        <v>1</v>
      </c>
      <c r="D9" s="7">
        <f>[1]Educación!D13</f>
        <v>1</v>
      </c>
      <c r="E9" s="7">
        <f>[1]ADTCA!D13</f>
        <v>5</v>
      </c>
      <c r="F9" s="7">
        <f>[1]DSC!D13</f>
        <v>1</v>
      </c>
      <c r="G9" s="7"/>
      <c r="H9" s="7"/>
      <c r="I9" s="8">
        <f>[1]IE!AA13</f>
        <v>3</v>
      </c>
      <c r="J9" s="2">
        <f>[1]Educación!K13</f>
        <v>5</v>
      </c>
      <c r="K9" s="2">
        <f>[1]ADTCA!N13</f>
        <v>2</v>
      </c>
      <c r="L9" s="7">
        <f>[1]DSC!M13</f>
        <v>2</v>
      </c>
      <c r="M9" s="7"/>
      <c r="N9" s="7"/>
      <c r="O9" s="7">
        <f>[1]IE!AU13</f>
        <v>3</v>
      </c>
      <c r="P9" s="7">
        <f>[1]Educación!U13</f>
        <v>1</v>
      </c>
      <c r="Q9" s="7">
        <f>[1]ADTCA!X13</f>
        <v>2</v>
      </c>
      <c r="R9" s="7">
        <f>[1]DSC!U13</f>
        <v>1</v>
      </c>
      <c r="S9" s="7"/>
      <c r="T9" s="7"/>
      <c r="U9" s="7">
        <f>[1]IE!BE13</f>
        <v>3</v>
      </c>
      <c r="V9" s="9">
        <f>[1]Educación!V13</f>
        <v>0</v>
      </c>
      <c r="W9" s="9">
        <f>[1]ADTCA!Y13</f>
        <v>2</v>
      </c>
      <c r="X9" s="9">
        <f>[1]DSC!V13</f>
        <v>1</v>
      </c>
      <c r="Y9" s="9"/>
      <c r="Z9" s="9"/>
      <c r="AA9" s="9">
        <f>[1]IE!BF13</f>
        <v>3</v>
      </c>
      <c r="AB9" s="9">
        <f>[1]Educación!W13</f>
        <v>0</v>
      </c>
      <c r="AC9" s="9">
        <f>[1]ADTCA!Z13</f>
        <v>2</v>
      </c>
      <c r="AD9" s="9">
        <f>[1]DSC!W13</f>
        <v>1</v>
      </c>
      <c r="AE9" s="9"/>
      <c r="AF9" s="9"/>
    </row>
    <row r="10" spans="1:33" ht="57.75" customHeight="1" x14ac:dyDescent="0.2">
      <c r="A10" s="29" t="s">
        <v>18</v>
      </c>
      <c r="B10" s="30" t="s">
        <v>47</v>
      </c>
      <c r="C10" s="4">
        <f>[1]IE!D14</f>
        <v>2</v>
      </c>
      <c r="D10" s="4">
        <f>[1]Educación!D14</f>
        <v>0</v>
      </c>
      <c r="E10" s="4">
        <f>[1]ADTCA!D14</f>
        <v>6</v>
      </c>
      <c r="F10" s="4">
        <f>[1]DSC!D14</f>
        <v>0</v>
      </c>
      <c r="G10" s="4"/>
      <c r="H10" s="4"/>
      <c r="I10" s="5">
        <f>[1]IE!AA14</f>
        <v>2</v>
      </c>
      <c r="J10" s="3">
        <f>[1]Educación!K14</f>
        <v>0</v>
      </c>
      <c r="K10" s="3">
        <f>[1]ADTCA!N14</f>
        <v>3</v>
      </c>
      <c r="L10" s="4">
        <f>[1]DSC!M14</f>
        <v>1</v>
      </c>
      <c r="M10" s="4"/>
      <c r="N10" s="4"/>
      <c r="O10" s="4">
        <f>[1]IE!AU14</f>
        <v>2</v>
      </c>
      <c r="P10" s="4">
        <f>[1]Educación!U14</f>
        <v>1</v>
      </c>
      <c r="Q10" s="4">
        <f>[1]ADTCA!X14</f>
        <v>3</v>
      </c>
      <c r="R10" s="4">
        <f>[1]DSC!U14</f>
        <v>1</v>
      </c>
      <c r="S10" s="4"/>
      <c r="T10" s="4"/>
      <c r="U10" s="4">
        <f>[1]IE!BE14</f>
        <v>2</v>
      </c>
      <c r="V10" s="6">
        <f>[1]Educación!V14</f>
        <v>0</v>
      </c>
      <c r="W10" s="6">
        <f>[1]ADTCA!Y14</f>
        <v>3</v>
      </c>
      <c r="X10" s="6">
        <f>[1]DSC!V14</f>
        <v>1</v>
      </c>
      <c r="Y10" s="6"/>
      <c r="Z10" s="6"/>
      <c r="AA10" s="6">
        <f>[1]IE!BF14</f>
        <v>2</v>
      </c>
      <c r="AB10" s="6">
        <f>[1]Educación!W14</f>
        <v>1</v>
      </c>
      <c r="AC10" s="6">
        <f>[1]ADTCA!Z14</f>
        <v>3</v>
      </c>
      <c r="AD10" s="6">
        <f>[1]DSC!W14</f>
        <v>1</v>
      </c>
      <c r="AE10" s="6"/>
      <c r="AF10" s="6"/>
    </row>
    <row r="11" spans="1:33" ht="28.5" customHeight="1" x14ac:dyDescent="0.2">
      <c r="A11" s="27" t="s">
        <v>19</v>
      </c>
      <c r="B11" s="28" t="s">
        <v>48</v>
      </c>
      <c r="C11" s="7">
        <f>[1]IE!D15</f>
        <v>0</v>
      </c>
      <c r="D11" s="7">
        <f>[1]Educación!D15</f>
        <v>0</v>
      </c>
      <c r="E11" s="7">
        <f>[1]ADTCA!D15</f>
        <v>0</v>
      </c>
      <c r="F11" s="7">
        <f>[1]DSC!D15</f>
        <v>0</v>
      </c>
      <c r="G11" s="7"/>
      <c r="H11" s="7"/>
      <c r="I11" s="8">
        <f>[1]IE!AA15</f>
        <v>0</v>
      </c>
      <c r="J11" s="2">
        <f>[1]Educación!K15</f>
        <v>0</v>
      </c>
      <c r="K11" s="2">
        <f>[1]ADTCA!N15</f>
        <v>0</v>
      </c>
      <c r="L11" s="7">
        <f>[1]DSC!M15</f>
        <v>0</v>
      </c>
      <c r="M11" s="7"/>
      <c r="N11" s="7"/>
      <c r="O11" s="7">
        <f>[1]IE!AU15</f>
        <v>1</v>
      </c>
      <c r="P11" s="7">
        <f>[1]Educación!U15</f>
        <v>1</v>
      </c>
      <c r="Q11" s="7">
        <f>[1]ADTCA!X15</f>
        <v>1</v>
      </c>
      <c r="R11" s="7">
        <f>[1]DSC!U15</f>
        <v>1</v>
      </c>
      <c r="S11" s="7"/>
      <c r="T11" s="7"/>
      <c r="U11" s="7">
        <f>[1]IE!BE15</f>
        <v>1</v>
      </c>
      <c r="V11" s="9">
        <f>[1]Educación!V15</f>
        <v>0</v>
      </c>
      <c r="W11" s="9">
        <f>[1]ADTCA!Y15</f>
        <v>1</v>
      </c>
      <c r="X11" s="9">
        <f>[1]DSC!V15</f>
        <v>1</v>
      </c>
      <c r="Y11" s="9"/>
      <c r="Z11" s="9"/>
      <c r="AA11" s="9">
        <f>[1]IE!BF15</f>
        <v>1</v>
      </c>
      <c r="AB11" s="9">
        <f>[1]Educación!W15</f>
        <v>1</v>
      </c>
      <c r="AC11" s="9">
        <f>[1]ADTCA!Z15</f>
        <v>1</v>
      </c>
      <c r="AD11" s="9">
        <f>[1]DSC!W15</f>
        <v>1</v>
      </c>
      <c r="AE11" s="9"/>
      <c r="AF11" s="9"/>
    </row>
    <row r="12" spans="1:33" ht="28.5" customHeight="1" x14ac:dyDescent="0.2">
      <c r="A12" s="29" t="s">
        <v>20</v>
      </c>
      <c r="B12" s="30" t="s">
        <v>49</v>
      </c>
      <c r="C12" s="4">
        <f>[1]IE!D16</f>
        <v>2</v>
      </c>
      <c r="D12" s="4">
        <f>[1]Educación!D16</f>
        <v>2</v>
      </c>
      <c r="E12" s="4">
        <f>[1]ADTCA!D16</f>
        <v>0</v>
      </c>
      <c r="F12" s="4">
        <f>[1]DSC!D16</f>
        <v>3</v>
      </c>
      <c r="G12" s="4"/>
      <c r="H12" s="4"/>
      <c r="I12" s="5">
        <f>[1]IE!AA16</f>
        <v>2</v>
      </c>
      <c r="J12" s="3">
        <f>[1]Educación!K16</f>
        <v>3</v>
      </c>
      <c r="K12" s="3">
        <f>[1]ADTCA!N16</f>
        <v>0</v>
      </c>
      <c r="L12" s="4">
        <f>[1]DSC!M16</f>
        <v>2</v>
      </c>
      <c r="M12" s="4"/>
      <c r="N12" s="4"/>
      <c r="O12" s="4">
        <f>[1]IE!AU16</f>
        <v>3</v>
      </c>
      <c r="P12" s="4">
        <f>[1]Educación!U16</f>
        <v>1</v>
      </c>
      <c r="Q12" s="4">
        <f>[1]ADTCA!X16</f>
        <v>1</v>
      </c>
      <c r="R12" s="4">
        <f>[1]DSC!U16</f>
        <v>1</v>
      </c>
      <c r="S12" s="4"/>
      <c r="T12" s="4"/>
      <c r="U12" s="4">
        <f>[1]IE!BE16</f>
        <v>3</v>
      </c>
      <c r="V12" s="6">
        <f>[1]Educación!V16</f>
        <v>1</v>
      </c>
      <c r="W12" s="6">
        <f>[1]ADTCA!Y16</f>
        <v>1</v>
      </c>
      <c r="X12" s="6">
        <f>[1]DSC!V16</f>
        <v>1</v>
      </c>
      <c r="Y12" s="6"/>
      <c r="Z12" s="6"/>
      <c r="AA12" s="6">
        <f>[1]IE!BF16</f>
        <v>3</v>
      </c>
      <c r="AB12" s="6">
        <f>[1]Educación!W16</f>
        <v>1</v>
      </c>
      <c r="AC12" s="6">
        <f>[1]ADTCA!Z16</f>
        <v>1</v>
      </c>
      <c r="AD12" s="6">
        <f>[1]DSC!W16</f>
        <v>1</v>
      </c>
      <c r="AE12" s="6"/>
      <c r="AF12" s="6"/>
    </row>
    <row r="13" spans="1:33" ht="57.75" customHeight="1" x14ac:dyDescent="0.2">
      <c r="A13" s="27" t="s">
        <v>21</v>
      </c>
      <c r="B13" s="28" t="s">
        <v>50</v>
      </c>
      <c r="C13" s="7">
        <f>[1]IE!D17</f>
        <v>5</v>
      </c>
      <c r="D13" s="7">
        <f>[1]Educación!D17</f>
        <v>0</v>
      </c>
      <c r="E13" s="7">
        <f>[1]ADTCA!D17</f>
        <v>9</v>
      </c>
      <c r="F13" s="7">
        <f>[1]DSC!D17</f>
        <v>4</v>
      </c>
      <c r="G13" s="7"/>
      <c r="H13" s="7"/>
      <c r="I13" s="8">
        <f>[1]IE!AA17</f>
        <v>4</v>
      </c>
      <c r="J13" s="2">
        <f>[1]Educación!K17</f>
        <v>1</v>
      </c>
      <c r="K13" s="2">
        <f>[1]ADTCA!N17</f>
        <v>6</v>
      </c>
      <c r="L13" s="7">
        <f>[1]DSC!M17</f>
        <v>3</v>
      </c>
      <c r="M13" s="7"/>
      <c r="N13" s="7"/>
      <c r="O13" s="7">
        <f>[1]IE!AU17</f>
        <v>4</v>
      </c>
      <c r="P13" s="7">
        <f>[1]Educación!U17</f>
        <v>1</v>
      </c>
      <c r="Q13" s="7">
        <f>[1]ADTCA!X17</f>
        <v>1</v>
      </c>
      <c r="R13" s="7">
        <f>[1]DSC!U17</f>
        <v>2</v>
      </c>
      <c r="S13" s="7"/>
      <c r="T13" s="7"/>
      <c r="U13" s="7">
        <f>[1]IE!BE17</f>
        <v>4</v>
      </c>
      <c r="V13" s="9">
        <f>[1]Educación!V17</f>
        <v>3</v>
      </c>
      <c r="W13" s="9">
        <f>[1]ADTCA!Y17</f>
        <v>1</v>
      </c>
      <c r="X13" s="9">
        <f>[1]DSC!V17</f>
        <v>2</v>
      </c>
      <c r="Y13" s="9"/>
      <c r="Z13" s="9"/>
      <c r="AA13" s="9">
        <f>[1]IE!BF17</f>
        <v>4</v>
      </c>
      <c r="AB13" s="9">
        <f>[1]Educación!W17</f>
        <v>3</v>
      </c>
      <c r="AC13" s="9">
        <f>[1]ADTCA!Z17</f>
        <v>1</v>
      </c>
      <c r="AD13" s="9">
        <f>[1]DSC!W17</f>
        <v>2</v>
      </c>
      <c r="AE13" s="9"/>
      <c r="AF13" s="9"/>
    </row>
    <row r="14" spans="1:33" ht="57.75" customHeight="1" x14ac:dyDescent="0.2">
      <c r="A14" s="29" t="s">
        <v>22</v>
      </c>
      <c r="B14" s="30" t="s">
        <v>51</v>
      </c>
      <c r="C14" s="4">
        <f>[1]IE!D18</f>
        <v>1</v>
      </c>
      <c r="D14" s="4">
        <f>[1]Educación!D18</f>
        <v>0</v>
      </c>
      <c r="E14" s="4">
        <f>[1]ADTCA!D18</f>
        <v>2</v>
      </c>
      <c r="F14" s="4">
        <f>[1]DSC!D18</f>
        <v>2</v>
      </c>
      <c r="G14" s="4"/>
      <c r="H14" s="4"/>
      <c r="I14" s="5">
        <f>[1]IE!AA18</f>
        <v>3</v>
      </c>
      <c r="J14" s="3">
        <f>[1]Educación!K18</f>
        <v>2</v>
      </c>
      <c r="K14" s="3">
        <f>[1]ADTCA!N18</f>
        <v>4</v>
      </c>
      <c r="L14" s="4">
        <f>[1]DSC!M18</f>
        <v>0</v>
      </c>
      <c r="M14" s="4"/>
      <c r="N14" s="4"/>
      <c r="O14" s="4">
        <f>[1]IE!AU18</f>
        <v>3</v>
      </c>
      <c r="P14" s="4">
        <f>[1]Educación!U18</f>
        <v>1</v>
      </c>
      <c r="Q14" s="4">
        <f>[1]ADTCA!X18</f>
        <v>1</v>
      </c>
      <c r="R14" s="4">
        <f>[1]DSC!U18</f>
        <v>1</v>
      </c>
      <c r="S14" s="4"/>
      <c r="T14" s="4"/>
      <c r="U14" s="4">
        <f>[1]IE!BE18</f>
        <v>3</v>
      </c>
      <c r="V14" s="6">
        <f>[1]Educación!V18</f>
        <v>0</v>
      </c>
      <c r="W14" s="6">
        <f>[1]ADTCA!Y18</f>
        <v>1</v>
      </c>
      <c r="X14" s="6">
        <f>[1]DSC!V18</f>
        <v>1</v>
      </c>
      <c r="Y14" s="6"/>
      <c r="Z14" s="6"/>
      <c r="AA14" s="6">
        <f>[1]IE!BF18</f>
        <v>3</v>
      </c>
      <c r="AB14" s="6">
        <f>[1]Educación!W18</f>
        <v>0</v>
      </c>
      <c r="AC14" s="6">
        <f>[1]ADTCA!Z18</f>
        <v>1</v>
      </c>
      <c r="AD14" s="6">
        <f>[1]DSC!W18</f>
        <v>1</v>
      </c>
      <c r="AE14" s="6"/>
      <c r="AF14" s="6"/>
    </row>
    <row r="15" spans="1:33" ht="57.75" customHeight="1" x14ac:dyDescent="0.2">
      <c r="A15" s="27" t="s">
        <v>23</v>
      </c>
      <c r="B15" s="28" t="s">
        <v>52</v>
      </c>
      <c r="C15" s="7">
        <f>[1]IE!D19</f>
        <v>0</v>
      </c>
      <c r="D15" s="7">
        <f>[1]Educación!D19</f>
        <v>1</v>
      </c>
      <c r="E15" s="7">
        <f>[1]ADTCA!D19</f>
        <v>4</v>
      </c>
      <c r="F15" s="7">
        <f>[1]DSC!D19</f>
        <v>0</v>
      </c>
      <c r="G15" s="7"/>
      <c r="H15" s="7"/>
      <c r="I15" s="8">
        <f>[1]IE!AA19</f>
        <v>4</v>
      </c>
      <c r="J15" s="2">
        <f>[1]Educación!K19</f>
        <v>1</v>
      </c>
      <c r="K15" s="2">
        <f>[1]ADTCA!N19</f>
        <v>2</v>
      </c>
      <c r="L15" s="7">
        <f>[1]DSC!M19</f>
        <v>0</v>
      </c>
      <c r="M15" s="7"/>
      <c r="N15" s="7"/>
      <c r="O15" s="7">
        <f>[1]IE!AU19</f>
        <v>3</v>
      </c>
      <c r="P15" s="7">
        <f>[1]Educación!U19</f>
        <v>1</v>
      </c>
      <c r="Q15" s="7">
        <f>[1]ADTCA!X19</f>
        <v>1</v>
      </c>
      <c r="R15" s="7">
        <f>[1]DSC!U19</f>
        <v>1</v>
      </c>
      <c r="S15" s="7"/>
      <c r="T15" s="7"/>
      <c r="U15" s="7">
        <f>[1]IE!BE19</f>
        <v>3</v>
      </c>
      <c r="V15" s="9">
        <f>[1]Educación!V19</f>
        <v>0</v>
      </c>
      <c r="W15" s="9">
        <f>[1]ADTCA!Y19</f>
        <v>1</v>
      </c>
      <c r="X15" s="9">
        <f>[1]DSC!V19</f>
        <v>1</v>
      </c>
      <c r="Y15" s="9"/>
      <c r="Z15" s="9"/>
      <c r="AA15" s="9">
        <f>[1]IE!BF19</f>
        <v>3</v>
      </c>
      <c r="AB15" s="9">
        <f>[1]Educación!W19</f>
        <v>0</v>
      </c>
      <c r="AC15" s="9">
        <f>[1]ADTCA!Z19</f>
        <v>1</v>
      </c>
      <c r="AD15" s="9">
        <f>[1]DSC!W19</f>
        <v>1</v>
      </c>
      <c r="AE15" s="9"/>
      <c r="AF15" s="9"/>
    </row>
    <row r="16" spans="1:33" ht="28.5" customHeight="1" x14ac:dyDescent="0.2">
      <c r="A16" s="25" t="s">
        <v>24</v>
      </c>
      <c r="B16" s="26" t="s">
        <v>53</v>
      </c>
      <c r="C16" s="4">
        <f>[1]IE!D20</f>
        <v>0</v>
      </c>
      <c r="D16" s="4">
        <f>[1]Educación!D20</f>
        <v>0</v>
      </c>
      <c r="E16" s="4">
        <f>[1]ADTCA!D20</f>
        <v>0</v>
      </c>
      <c r="F16" s="4">
        <f>[1]DSC!D20</f>
        <v>0</v>
      </c>
      <c r="G16" s="4"/>
      <c r="H16" s="4">
        <v>0</v>
      </c>
      <c r="I16" s="5">
        <f>[1]IE!AA20</f>
        <v>0</v>
      </c>
      <c r="J16" s="3">
        <f>[1]Educación!K20</f>
        <v>0</v>
      </c>
      <c r="K16" s="3">
        <f>[1]ADTCA!N20</f>
        <v>0</v>
      </c>
      <c r="L16" s="4">
        <f>[1]DSC!M20</f>
        <v>0</v>
      </c>
      <c r="M16" s="4"/>
      <c r="N16" s="10">
        <v>3.5999999999999997E-2</v>
      </c>
      <c r="O16" s="4">
        <f>[1]IE!AU20</f>
        <v>0</v>
      </c>
      <c r="P16" s="4">
        <f>[1]Educación!U20</f>
        <v>0</v>
      </c>
      <c r="Q16" s="4">
        <f>[1]ADTCA!X20</f>
        <v>0</v>
      </c>
      <c r="R16" s="4">
        <f>[1]DSC!U20</f>
        <v>0</v>
      </c>
      <c r="S16" s="4"/>
      <c r="T16" s="11">
        <v>7.0000000000000007E-2</v>
      </c>
      <c r="U16" s="4">
        <f>[1]IE!BE20</f>
        <v>0</v>
      </c>
      <c r="V16" s="6">
        <f>[1]Educación!V20</f>
        <v>0</v>
      </c>
      <c r="W16" s="6">
        <f>[1]ADTCA!Y20</f>
        <v>0</v>
      </c>
      <c r="X16" s="6">
        <f>[1]DSC!V20</f>
        <v>0</v>
      </c>
      <c r="Y16" s="6"/>
      <c r="Z16" s="12">
        <v>0.09</v>
      </c>
      <c r="AA16" s="6">
        <f>[1]IE!BF20</f>
        <v>0</v>
      </c>
      <c r="AB16" s="6">
        <f>[1]Educación!W20</f>
        <v>0</v>
      </c>
      <c r="AC16" s="6">
        <f>[1]ADTCA!Z20</f>
        <v>0</v>
      </c>
      <c r="AD16" s="6">
        <f>[1]DSC!W20</f>
        <v>0</v>
      </c>
      <c r="AE16" s="6"/>
      <c r="AF16" s="12">
        <v>0.12</v>
      </c>
    </row>
    <row r="17" spans="1:32" ht="43.5" customHeight="1" x14ac:dyDescent="0.2">
      <c r="A17" s="23" t="s">
        <v>25</v>
      </c>
      <c r="B17" s="24" t="s">
        <v>54</v>
      </c>
      <c r="C17" s="7">
        <f>[1]IE!D21</f>
        <v>0</v>
      </c>
      <c r="D17" s="7">
        <f>[1]Educación!D21</f>
        <v>0</v>
      </c>
      <c r="E17" s="7">
        <f>[1]ADTCA!D21</f>
        <v>0</v>
      </c>
      <c r="F17" s="7">
        <f>[1]DSC!D21</f>
        <v>0</v>
      </c>
      <c r="G17" s="7"/>
      <c r="H17" s="7">
        <v>122000</v>
      </c>
      <c r="I17" s="8">
        <f>[1]IE!AA21</f>
        <v>2</v>
      </c>
      <c r="J17" s="2">
        <f>[1]Educación!K21</f>
        <v>0</v>
      </c>
      <c r="K17" s="2">
        <f>[1]ADTCA!N21</f>
        <v>0</v>
      </c>
      <c r="L17" s="7">
        <f>[1]DSC!M21</f>
        <v>0</v>
      </c>
      <c r="M17" s="7"/>
      <c r="N17" s="7"/>
      <c r="O17" s="7">
        <f>[1]IE!AU21</f>
        <v>0</v>
      </c>
      <c r="P17" s="7">
        <f>[1]Educación!U21</f>
        <v>0</v>
      </c>
      <c r="Q17" s="7">
        <f>[1]ADTCA!X21</f>
        <v>0</v>
      </c>
      <c r="R17" s="7">
        <f>[1]DSC!U21</f>
        <v>0</v>
      </c>
      <c r="S17" s="7"/>
      <c r="T17" s="7"/>
      <c r="U17" s="7">
        <f>[1]IE!BE21</f>
        <v>0</v>
      </c>
      <c r="V17" s="9">
        <f>[1]Educación!V21</f>
        <v>0</v>
      </c>
      <c r="W17" s="9">
        <f>[1]ADTCA!Y21</f>
        <v>0</v>
      </c>
      <c r="X17" s="9">
        <f>[1]DSC!V21</f>
        <v>0</v>
      </c>
      <c r="Y17" s="9"/>
      <c r="Z17" s="9">
        <v>0</v>
      </c>
      <c r="AA17" s="9">
        <f>[1]IE!BF21</f>
        <v>0</v>
      </c>
      <c r="AB17" s="9">
        <f>[1]Educación!W21</f>
        <v>0</v>
      </c>
      <c r="AC17" s="9">
        <f>[1]ADTCA!Z21</f>
        <v>0</v>
      </c>
      <c r="AD17" s="9">
        <f>[1]DSC!W21</f>
        <v>0</v>
      </c>
      <c r="AE17" s="9"/>
      <c r="AF17" s="9">
        <v>0</v>
      </c>
    </row>
    <row r="18" spans="1:32" ht="57.75" customHeight="1" x14ac:dyDescent="0.2">
      <c r="A18" s="25" t="s">
        <v>26</v>
      </c>
      <c r="B18" s="26" t="s">
        <v>55</v>
      </c>
      <c r="C18" s="4">
        <f>[1]IE!D22</f>
        <v>0</v>
      </c>
      <c r="D18" s="4">
        <f>[1]Educación!D22</f>
        <v>5</v>
      </c>
      <c r="E18" s="4">
        <f>[1]ADTCA!D22</f>
        <v>0</v>
      </c>
      <c r="F18" s="4">
        <f>[1]DSC!D22</f>
        <v>0</v>
      </c>
      <c r="G18" s="4"/>
      <c r="H18" s="4">
        <v>0</v>
      </c>
      <c r="I18" s="5">
        <f>[1]IE!AA22</f>
        <v>0</v>
      </c>
      <c r="J18" s="3">
        <f>[1]Educación!K22</f>
        <v>0</v>
      </c>
      <c r="K18" s="3">
        <f>[1]ADTCA!N22</f>
        <v>1</v>
      </c>
      <c r="L18" s="4">
        <f>[1]DSC!M22</f>
        <v>0</v>
      </c>
      <c r="M18" s="4"/>
      <c r="N18" s="4">
        <v>20</v>
      </c>
      <c r="O18" s="4">
        <f>[1]IE!AU22</f>
        <v>6</v>
      </c>
      <c r="P18" s="4">
        <f>[1]Educación!U22</f>
        <v>1</v>
      </c>
      <c r="Q18" s="4">
        <f>[1]ADTCA!X22</f>
        <v>0</v>
      </c>
      <c r="R18" s="4">
        <f>[1]DSC!U22</f>
        <v>0</v>
      </c>
      <c r="S18" s="4"/>
      <c r="T18" s="4">
        <v>30</v>
      </c>
      <c r="U18" s="4">
        <f>[1]IE!BE22</f>
        <v>6</v>
      </c>
      <c r="V18" s="6">
        <f>[1]Educación!V22</f>
        <v>1</v>
      </c>
      <c r="W18" s="6">
        <f>[1]ADTCA!Y22</f>
        <v>0</v>
      </c>
      <c r="X18" s="6">
        <f>[1]DSC!V22</f>
        <v>0</v>
      </c>
      <c r="Y18" s="6"/>
      <c r="Z18" s="6">
        <v>30</v>
      </c>
      <c r="AA18" s="6">
        <f>[1]IE!BF22</f>
        <v>6</v>
      </c>
      <c r="AB18" s="6">
        <f>[1]Educación!W22</f>
        <v>1</v>
      </c>
      <c r="AC18" s="6">
        <f>[1]ADTCA!Z22</f>
        <v>0</v>
      </c>
      <c r="AD18" s="6">
        <f>[1]DSC!W22</f>
        <v>0</v>
      </c>
      <c r="AE18" s="6"/>
      <c r="AF18" s="6">
        <v>40</v>
      </c>
    </row>
    <row r="19" spans="1:32" ht="43.5" customHeight="1" x14ac:dyDescent="0.2">
      <c r="A19" s="23" t="s">
        <v>27</v>
      </c>
      <c r="B19" s="24" t="s">
        <v>56</v>
      </c>
      <c r="C19" s="7">
        <f>[1]IE!D23</f>
        <v>0</v>
      </c>
      <c r="D19" s="7">
        <f>[1]Educación!D23</f>
        <v>0</v>
      </c>
      <c r="E19" s="7">
        <f>[1]ADTCA!D23</f>
        <v>0</v>
      </c>
      <c r="F19" s="7">
        <f>[1]DSC!D23</f>
        <v>28</v>
      </c>
      <c r="G19" s="7"/>
      <c r="H19" s="7">
        <v>4</v>
      </c>
      <c r="I19" s="8">
        <f>[1]IE!AA23</f>
        <v>0</v>
      </c>
      <c r="J19" s="2">
        <f>[1]Educación!K23</f>
        <v>0</v>
      </c>
      <c r="K19" s="2">
        <f>[1]ADTCA!N23</f>
        <v>2</v>
      </c>
      <c r="L19" s="7">
        <f>[1]DSC!M23</f>
        <v>0</v>
      </c>
      <c r="M19" s="7"/>
      <c r="N19" s="7">
        <v>10</v>
      </c>
      <c r="O19" s="7">
        <f>[1]IE!AU23</f>
        <v>5</v>
      </c>
      <c r="P19" s="7">
        <f>[1]Educación!U23</f>
        <v>0</v>
      </c>
      <c r="Q19" s="7">
        <f>[1]ADTCA!X23</f>
        <v>0</v>
      </c>
      <c r="R19" s="7">
        <f>[1]DSC!U23</f>
        <v>0</v>
      </c>
      <c r="S19" s="7"/>
      <c r="T19" s="7">
        <v>10</v>
      </c>
      <c r="U19" s="7">
        <f>[1]IE!BE23</f>
        <v>5</v>
      </c>
      <c r="V19" s="9">
        <f>[1]Educación!V23</f>
        <v>0</v>
      </c>
      <c r="W19" s="9">
        <f>[1]ADTCA!Y23</f>
        <v>0</v>
      </c>
      <c r="X19" s="9">
        <f>[1]DSC!V23</f>
        <v>0</v>
      </c>
      <c r="Y19" s="9"/>
      <c r="Z19" s="9">
        <v>10</v>
      </c>
      <c r="AA19" s="9">
        <f>[1]IE!BF23</f>
        <v>5</v>
      </c>
      <c r="AB19" s="9">
        <f>[1]Educación!W23</f>
        <v>0</v>
      </c>
      <c r="AC19" s="9">
        <f>[1]ADTCA!Z23</f>
        <v>0</v>
      </c>
      <c r="AD19" s="9">
        <f>[1]DSC!W23</f>
        <v>0</v>
      </c>
      <c r="AE19" s="9"/>
      <c r="AF19" s="9">
        <v>10</v>
      </c>
    </row>
    <row r="20" spans="1:32" ht="57.75" customHeight="1" x14ac:dyDescent="0.2">
      <c r="A20" s="25" t="s">
        <v>28</v>
      </c>
      <c r="B20" s="26" t="s">
        <v>57</v>
      </c>
      <c r="C20" s="4">
        <f>[1]IE!D24</f>
        <v>0</v>
      </c>
      <c r="D20" s="4">
        <f>[1]Educación!D24</f>
        <v>0</v>
      </c>
      <c r="E20" s="4">
        <f>[1]ADTCA!D24</f>
        <v>0</v>
      </c>
      <c r="F20" s="4">
        <f>[1]DSC!D24</f>
        <v>4</v>
      </c>
      <c r="G20" s="4"/>
      <c r="H20" s="4">
        <v>16</v>
      </c>
      <c r="I20" s="5">
        <f>[1]IE!AA24</f>
        <v>3</v>
      </c>
      <c r="J20" s="3">
        <f>[1]Educación!K24</f>
        <v>0</v>
      </c>
      <c r="K20" s="3">
        <f>[1]ADTCA!N24</f>
        <v>2</v>
      </c>
      <c r="L20" s="4">
        <f>[1]DSC!M24</f>
        <v>3</v>
      </c>
      <c r="M20" s="4"/>
      <c r="N20" s="4">
        <v>10</v>
      </c>
      <c r="O20" s="4">
        <f>[1]IE!AU24</f>
        <v>4</v>
      </c>
      <c r="P20" s="4">
        <f>[1]Educación!U24</f>
        <v>0</v>
      </c>
      <c r="Q20" s="4">
        <f>[1]ADTCA!X24</f>
        <v>0</v>
      </c>
      <c r="R20" s="4">
        <f>[1]DSC!U24</f>
        <v>2</v>
      </c>
      <c r="S20" s="4"/>
      <c r="T20" s="4">
        <v>20</v>
      </c>
      <c r="U20" s="4">
        <f>[1]IE!BE24</f>
        <v>4</v>
      </c>
      <c r="V20" s="6">
        <f>[1]Educación!V24</f>
        <v>0</v>
      </c>
      <c r="W20" s="6">
        <f>[1]ADTCA!Y24</f>
        <v>0</v>
      </c>
      <c r="X20" s="6">
        <f>[1]DSC!V24</f>
        <v>2</v>
      </c>
      <c r="Y20" s="6"/>
      <c r="Z20" s="6">
        <v>20</v>
      </c>
      <c r="AA20" s="6">
        <f>[1]IE!BF24</f>
        <v>4</v>
      </c>
      <c r="AB20" s="6">
        <f>[1]Educación!W24</f>
        <v>0</v>
      </c>
      <c r="AC20" s="6">
        <f>[1]ADTCA!Z24</f>
        <v>0</v>
      </c>
      <c r="AD20" s="6">
        <f>[1]DSC!W24</f>
        <v>2</v>
      </c>
      <c r="AE20" s="6"/>
      <c r="AF20" s="6">
        <v>30</v>
      </c>
    </row>
    <row r="21" spans="1:32" ht="28.5" customHeight="1" x14ac:dyDescent="0.2">
      <c r="A21" s="23" t="s">
        <v>29</v>
      </c>
      <c r="B21" s="24" t="s">
        <v>58</v>
      </c>
      <c r="C21" s="7">
        <f>[1]IE!D25</f>
        <v>0</v>
      </c>
      <c r="D21" s="7">
        <f>[1]Educación!D25</f>
        <v>0</v>
      </c>
      <c r="E21" s="7">
        <f>[1]ADTCA!D25</f>
        <v>0</v>
      </c>
      <c r="F21" s="7">
        <f>[1]DSC!D25</f>
        <v>0</v>
      </c>
      <c r="G21" s="7"/>
      <c r="H21" s="7">
        <v>190000</v>
      </c>
      <c r="I21" s="8">
        <f>[1]IE!AA25</f>
        <v>0</v>
      </c>
      <c r="J21" s="2">
        <f>[1]Educación!K25</f>
        <v>0</v>
      </c>
      <c r="K21" s="2">
        <f>[1]ADTCA!N25</f>
        <v>0</v>
      </c>
      <c r="L21" s="7">
        <f>[1]DSC!M25</f>
        <v>0</v>
      </c>
      <c r="M21" s="7"/>
      <c r="N21" s="7">
        <v>200000</v>
      </c>
      <c r="O21" s="7">
        <f>[1]IE!AU25</f>
        <v>0</v>
      </c>
      <c r="P21" s="7">
        <f>[1]Educación!U25</f>
        <v>0</v>
      </c>
      <c r="Q21" s="7">
        <f>[1]ADTCA!X25</f>
        <v>0</v>
      </c>
      <c r="R21" s="7">
        <f>[1]DSC!U25</f>
        <v>0</v>
      </c>
      <c r="S21" s="7"/>
      <c r="T21" s="7">
        <v>250000</v>
      </c>
      <c r="U21" s="7">
        <f>[1]IE!BE25</f>
        <v>0</v>
      </c>
      <c r="V21" s="9">
        <f>[1]Educación!V25</f>
        <v>0</v>
      </c>
      <c r="W21" s="9">
        <f>[1]ADTCA!Y25</f>
        <v>0</v>
      </c>
      <c r="X21" s="9">
        <f>[1]DSC!V25</f>
        <v>0</v>
      </c>
      <c r="Y21" s="9"/>
      <c r="Z21" s="9">
        <v>300000</v>
      </c>
      <c r="AA21" s="9">
        <f>[1]IE!BF25</f>
        <v>0</v>
      </c>
      <c r="AB21" s="9">
        <f>[1]Educación!W25</f>
        <v>0</v>
      </c>
      <c r="AC21" s="9">
        <f>[1]ADTCA!Z25</f>
        <v>0</v>
      </c>
      <c r="AD21" s="9">
        <f>[1]DSC!W25</f>
        <v>0</v>
      </c>
      <c r="AE21" s="9"/>
      <c r="AF21" s="9">
        <v>300000</v>
      </c>
    </row>
    <row r="22" spans="1:32" ht="72" customHeight="1" x14ac:dyDescent="0.2">
      <c r="A22" s="25" t="s">
        <v>30</v>
      </c>
      <c r="B22" s="26" t="s">
        <v>59</v>
      </c>
      <c r="C22" s="4">
        <f>[1]IE!D26</f>
        <v>0</v>
      </c>
      <c r="D22" s="4">
        <f>[1]Educación!D26</f>
        <v>0</v>
      </c>
      <c r="E22" s="4">
        <f>[1]ADTCA!D26</f>
        <v>0</v>
      </c>
      <c r="F22" s="4">
        <f>[1]DSC!D26</f>
        <v>0</v>
      </c>
      <c r="G22" s="4"/>
      <c r="H22" s="4">
        <v>0</v>
      </c>
      <c r="I22" s="5">
        <f>[1]IE!AA26</f>
        <v>0</v>
      </c>
      <c r="J22" s="3">
        <f>[1]Educación!K26</f>
        <v>0</v>
      </c>
      <c r="K22" s="3">
        <f>[1]ADTCA!N26</f>
        <v>0</v>
      </c>
      <c r="L22" s="4">
        <f>[1]DSC!M26</f>
        <v>0</v>
      </c>
      <c r="M22" s="4"/>
      <c r="N22" s="4">
        <v>0</v>
      </c>
      <c r="O22" s="4">
        <f>[1]IE!AU26</f>
        <v>0</v>
      </c>
      <c r="P22" s="4">
        <f>[1]Educación!U26</f>
        <v>0</v>
      </c>
      <c r="Q22" s="4">
        <f>[1]ADTCA!X26</f>
        <v>0</v>
      </c>
      <c r="R22" s="4">
        <f>[1]DSC!U26</f>
        <v>0</v>
      </c>
      <c r="S22" s="4"/>
      <c r="T22" s="11">
        <v>0.02</v>
      </c>
      <c r="U22" s="4">
        <f>[1]IE!BE26</f>
        <v>0</v>
      </c>
      <c r="V22" s="6">
        <f>[1]Educación!V26</f>
        <v>0</v>
      </c>
      <c r="W22" s="6">
        <f>[1]ADTCA!Y26</f>
        <v>0</v>
      </c>
      <c r="X22" s="6">
        <f>[1]DSC!V26</f>
        <v>0</v>
      </c>
      <c r="Y22" s="6"/>
      <c r="Z22" s="12">
        <v>0.04</v>
      </c>
      <c r="AA22" s="6">
        <f>[1]IE!BF26</f>
        <v>0</v>
      </c>
      <c r="AB22" s="6">
        <f>[1]Educación!W26</f>
        <v>0</v>
      </c>
      <c r="AC22" s="6">
        <f>[1]ADTCA!Z26</f>
        <v>0</v>
      </c>
      <c r="AD22" s="6">
        <f>[1]DSC!W26</f>
        <v>0</v>
      </c>
      <c r="AE22" s="6"/>
      <c r="AF22" s="12">
        <v>0.04</v>
      </c>
    </row>
    <row r="23" spans="1:32" ht="43.5" customHeight="1" x14ac:dyDescent="0.2">
      <c r="A23" s="23" t="s">
        <v>31</v>
      </c>
      <c r="B23" s="24" t="s">
        <v>60</v>
      </c>
      <c r="C23" s="7">
        <f>[1]IE!D27</f>
        <v>0</v>
      </c>
      <c r="D23" s="7">
        <f>[1]Educación!D27</f>
        <v>0</v>
      </c>
      <c r="E23" s="7">
        <f>[1]ADTCA!D27</f>
        <v>0</v>
      </c>
      <c r="F23" s="7">
        <f>[1]DSC!D27</f>
        <v>0</v>
      </c>
      <c r="G23" s="7"/>
      <c r="H23" s="7">
        <v>5000000</v>
      </c>
      <c r="I23" s="8">
        <f>[1]IE!AA27</f>
        <v>0</v>
      </c>
      <c r="J23" s="2">
        <f>[1]Educación!K27</f>
        <v>0</v>
      </c>
      <c r="K23" s="2">
        <f>[1]ADTCA!N27</f>
        <v>0</v>
      </c>
      <c r="L23" s="7">
        <f>[1]DSC!M27</f>
        <v>0</v>
      </c>
      <c r="M23" s="7"/>
      <c r="N23" s="7">
        <v>0</v>
      </c>
      <c r="O23" s="7">
        <f>[1]IE!AU27</f>
        <v>0</v>
      </c>
      <c r="P23" s="7">
        <f>[1]Educación!U27</f>
        <v>0</v>
      </c>
      <c r="Q23" s="7">
        <f>[1]ADTCA!X27</f>
        <v>0</v>
      </c>
      <c r="R23" s="7">
        <f>[1]DSC!U27</f>
        <v>0</v>
      </c>
      <c r="S23" s="7"/>
      <c r="T23" s="7">
        <v>8000000</v>
      </c>
      <c r="U23" s="7">
        <f>[1]IE!BE27</f>
        <v>0</v>
      </c>
      <c r="V23" s="9">
        <f>[1]Educación!V27</f>
        <v>0</v>
      </c>
      <c r="W23" s="9">
        <f>[1]ADTCA!Y27</f>
        <v>0</v>
      </c>
      <c r="X23" s="9">
        <f>[1]DSC!V27</f>
        <v>0</v>
      </c>
      <c r="Y23" s="9"/>
      <c r="Z23" s="9">
        <v>10000000</v>
      </c>
      <c r="AA23" s="9">
        <f>[1]IE!BF27</f>
        <v>0</v>
      </c>
      <c r="AB23" s="9">
        <f>[1]Educación!W27</f>
        <v>0</v>
      </c>
      <c r="AC23" s="9">
        <f>[1]ADTCA!Z27</f>
        <v>0</v>
      </c>
      <c r="AD23" s="9">
        <f>[1]DSC!W27</f>
        <v>0</v>
      </c>
      <c r="AE23" s="9"/>
      <c r="AF23" s="9">
        <v>5000000</v>
      </c>
    </row>
    <row r="24" spans="1:32" ht="43.5" customHeight="1" x14ac:dyDescent="0.2">
      <c r="A24" s="25" t="s">
        <v>32</v>
      </c>
      <c r="B24" s="26" t="s">
        <v>61</v>
      </c>
      <c r="C24" s="4"/>
      <c r="D24" s="4"/>
      <c r="E24" s="4"/>
      <c r="F24" s="4"/>
      <c r="G24" s="4">
        <v>0.6</v>
      </c>
      <c r="H24" s="4"/>
      <c r="I24" s="5"/>
      <c r="J24" s="3"/>
      <c r="K24" s="3"/>
      <c r="L24" s="4"/>
      <c r="M24" s="4">
        <v>0.7</v>
      </c>
      <c r="N24" s="4"/>
      <c r="O24" s="4"/>
      <c r="P24" s="4"/>
      <c r="Q24" s="4"/>
      <c r="R24" s="4"/>
      <c r="S24" s="13">
        <v>0.8</v>
      </c>
      <c r="T24" s="4"/>
      <c r="U24" s="4"/>
      <c r="V24" s="6"/>
      <c r="W24" s="6"/>
      <c r="X24" s="6"/>
      <c r="Y24" s="6">
        <v>0.9</v>
      </c>
      <c r="Z24" s="6"/>
      <c r="AA24" s="6"/>
      <c r="AB24" s="6"/>
      <c r="AC24" s="6"/>
      <c r="AD24" s="6"/>
      <c r="AE24" s="6">
        <v>1</v>
      </c>
      <c r="AF24" s="6"/>
    </row>
    <row r="25" spans="1:32" ht="43.5" customHeight="1" x14ac:dyDescent="0.2">
      <c r="A25" s="23" t="s">
        <v>33</v>
      </c>
      <c r="B25" s="24" t="s">
        <v>62</v>
      </c>
      <c r="C25" s="7">
        <f>[1]IE!D29</f>
        <v>0</v>
      </c>
      <c r="D25" s="7">
        <f>[1]Educación!D29</f>
        <v>0</v>
      </c>
      <c r="E25" s="7">
        <f>[1]ADTCA!D29</f>
        <v>0</v>
      </c>
      <c r="F25" s="7">
        <f>[1]DSC!D29</f>
        <v>0</v>
      </c>
      <c r="G25" s="7"/>
      <c r="H25" s="7"/>
      <c r="I25" s="8">
        <f>[1]IE!AA29</f>
        <v>1</v>
      </c>
      <c r="J25" s="2">
        <f>[1]Educación!K29</f>
        <v>0</v>
      </c>
      <c r="K25" s="2">
        <f>[1]ADTCA!N29</f>
        <v>0</v>
      </c>
      <c r="L25" s="7">
        <f>[1]DSC!M29</f>
        <v>0</v>
      </c>
      <c r="M25" s="7"/>
      <c r="N25" s="7"/>
      <c r="O25" s="7">
        <f>[1]IE!AU29</f>
        <v>1</v>
      </c>
      <c r="P25" s="7">
        <f>[1]Educación!U29</f>
        <v>0</v>
      </c>
      <c r="Q25" s="7">
        <f>[1]ADTCA!X29</f>
        <v>0</v>
      </c>
      <c r="R25" s="7">
        <f>[1]DSC!U29</f>
        <v>0</v>
      </c>
      <c r="S25" s="14"/>
      <c r="T25" s="7"/>
      <c r="U25" s="7">
        <f>[1]IE!BE29</f>
        <v>1</v>
      </c>
      <c r="V25" s="9">
        <f>[1]Educación!V29</f>
        <v>0</v>
      </c>
      <c r="W25" s="9">
        <f>[1]ADTCA!Y29</f>
        <v>0</v>
      </c>
      <c r="X25" s="9">
        <f>[1]DSC!V29</f>
        <v>0</v>
      </c>
      <c r="Y25" s="9"/>
      <c r="Z25" s="9"/>
      <c r="AA25" s="9">
        <f>[1]IE!BF29</f>
        <v>1</v>
      </c>
      <c r="AB25" s="9">
        <f>[1]Educación!W29</f>
        <v>0</v>
      </c>
      <c r="AC25" s="9">
        <f>[1]ADTCA!Z29</f>
        <v>0</v>
      </c>
      <c r="AD25" s="9">
        <f>[1]DSC!W29</f>
        <v>0</v>
      </c>
      <c r="AE25" s="9"/>
      <c r="AF25" s="9"/>
    </row>
    <row r="26" spans="1:32" ht="43.5" customHeight="1" x14ac:dyDescent="0.2">
      <c r="A26" s="29" t="s">
        <v>34</v>
      </c>
      <c r="B26" s="30" t="s">
        <v>63</v>
      </c>
      <c r="C26" s="4">
        <f>[1]IE!D30</f>
        <v>1</v>
      </c>
      <c r="D26" s="4">
        <f>[1]Educación!D30</f>
        <v>0</v>
      </c>
      <c r="E26" s="4">
        <f>[1]ADTCA!D30</f>
        <v>0</v>
      </c>
      <c r="F26" s="4">
        <f>[1]DSC!D30</f>
        <v>0</v>
      </c>
      <c r="G26" s="4"/>
      <c r="H26" s="4"/>
      <c r="I26" s="5">
        <f>[1]IE!AA30</f>
        <v>8</v>
      </c>
      <c r="J26" s="3">
        <f>[1]Educación!K30</f>
        <v>0</v>
      </c>
      <c r="K26" s="3">
        <f>[1]ADTCA!N30</f>
        <v>3</v>
      </c>
      <c r="L26" s="4">
        <f>[1]DSC!M30</f>
        <v>0</v>
      </c>
      <c r="M26" s="4"/>
      <c r="N26" s="4"/>
      <c r="O26" s="4">
        <f>[1]IE!AU30</f>
        <v>10</v>
      </c>
      <c r="P26" s="4">
        <f>[1]Educación!U30</f>
        <v>0</v>
      </c>
      <c r="Q26" s="4">
        <f>[1]ADTCA!X30</f>
        <v>0</v>
      </c>
      <c r="R26" s="4">
        <f>[1]DSC!U30</f>
        <v>0</v>
      </c>
      <c r="S26" s="13"/>
      <c r="T26" s="4"/>
      <c r="U26" s="4">
        <f>[1]IE!BE30</f>
        <v>10</v>
      </c>
      <c r="V26" s="6">
        <f>[1]Educación!V30</f>
        <v>0</v>
      </c>
      <c r="W26" s="6">
        <f>[1]ADTCA!Y30</f>
        <v>0</v>
      </c>
      <c r="X26" s="6">
        <f>[1]DSC!V30</f>
        <v>0</v>
      </c>
      <c r="Y26" s="6"/>
      <c r="Z26" s="6"/>
      <c r="AA26" s="6">
        <f>[1]IE!BF30</f>
        <v>10</v>
      </c>
      <c r="AB26" s="6">
        <f>[1]Educación!W30</f>
        <v>0</v>
      </c>
      <c r="AC26" s="6">
        <f>[1]ADTCA!Z30</f>
        <v>0</v>
      </c>
      <c r="AD26" s="6">
        <f>[1]DSC!W30</f>
        <v>0</v>
      </c>
      <c r="AE26" s="6"/>
      <c r="AF26" s="6"/>
    </row>
    <row r="27" spans="1:32" ht="57.75" customHeight="1" x14ac:dyDescent="0.2">
      <c r="A27" s="23" t="s">
        <v>35</v>
      </c>
      <c r="B27" s="24" t="s">
        <v>64</v>
      </c>
      <c r="C27" s="7">
        <f>[1]IE!D31</f>
        <v>0</v>
      </c>
      <c r="D27" s="7">
        <f>[1]Educación!D31</f>
        <v>0</v>
      </c>
      <c r="E27" s="7">
        <f>[1]ADTCA!D31</f>
        <v>0</v>
      </c>
      <c r="F27" s="7">
        <f>[1]DSC!D31</f>
        <v>0</v>
      </c>
      <c r="G27" s="7">
        <f>[1]DAF!D4</f>
        <v>0</v>
      </c>
      <c r="H27" s="7"/>
      <c r="I27" s="8">
        <f>[1]IE!AA31</f>
        <v>0</v>
      </c>
      <c r="J27" s="2">
        <f>[1]Educación!K31</f>
        <v>0</v>
      </c>
      <c r="K27" s="2">
        <f>[1]ADTCA!N31</f>
        <v>0</v>
      </c>
      <c r="L27" s="7">
        <f>[1]DSC!M31</f>
        <v>0</v>
      </c>
      <c r="M27" s="7">
        <v>0.6</v>
      </c>
      <c r="N27" s="7"/>
      <c r="O27" s="7">
        <f>[1]IE!AU31</f>
        <v>0</v>
      </c>
      <c r="P27" s="7">
        <f>[1]Educación!U31</f>
        <v>0</v>
      </c>
      <c r="Q27" s="7">
        <f>[1]ADTCA!X31</f>
        <v>0</v>
      </c>
      <c r="R27" s="7">
        <f>[1]DSC!U31</f>
        <v>0</v>
      </c>
      <c r="S27" s="14">
        <v>0.75</v>
      </c>
      <c r="T27" s="7"/>
      <c r="U27" s="7">
        <f>[1]IE!BE31</f>
        <v>0</v>
      </c>
      <c r="V27" s="9">
        <f>[1]Educación!V31</f>
        <v>0</v>
      </c>
      <c r="W27" s="9">
        <f>[1]ADTCA!Y31</f>
        <v>0</v>
      </c>
      <c r="X27" s="9">
        <f>[1]DSC!V31</f>
        <v>0</v>
      </c>
      <c r="Y27" s="9">
        <v>0.85</v>
      </c>
      <c r="Z27" s="9"/>
      <c r="AA27" s="9">
        <f>[1]IE!BF31</f>
        <v>0</v>
      </c>
      <c r="AB27" s="9">
        <f>[1]Educación!W31</f>
        <v>0</v>
      </c>
      <c r="AC27" s="9">
        <f>[1]ADTCA!Z31</f>
        <v>0</v>
      </c>
      <c r="AD27" s="9">
        <f>[1]DSC!W31</f>
        <v>0</v>
      </c>
      <c r="AE27" s="9">
        <v>1</v>
      </c>
      <c r="AF27" s="9"/>
    </row>
    <row r="28" spans="1:32" ht="43.5" customHeight="1" x14ac:dyDescent="0.2">
      <c r="A28" s="25" t="s">
        <v>36</v>
      </c>
      <c r="B28" s="26" t="s">
        <v>65</v>
      </c>
      <c r="C28" s="4">
        <f>[1]IE!D32</f>
        <v>0</v>
      </c>
      <c r="D28" s="4">
        <f>[1]Educación!D32</f>
        <v>0</v>
      </c>
      <c r="E28" s="4">
        <f>[1]ADTCA!D32</f>
        <v>0</v>
      </c>
      <c r="F28" s="4">
        <f>[1]DSC!D32</f>
        <v>0</v>
      </c>
      <c r="G28" s="4">
        <f>[1]DAF!D5</f>
        <v>0</v>
      </c>
      <c r="H28" s="4"/>
      <c r="I28" s="5">
        <f>[1]IE!AA32</f>
        <v>0</v>
      </c>
      <c r="J28" s="3">
        <f>[1]Educación!K32</f>
        <v>0</v>
      </c>
      <c r="K28" s="3">
        <f>[1]ADTCA!N32</f>
        <v>0</v>
      </c>
      <c r="L28" s="11">
        <f>[1]DSC!M32</f>
        <v>1</v>
      </c>
      <c r="M28" s="4">
        <v>0.8</v>
      </c>
      <c r="N28" s="4"/>
      <c r="O28" s="4">
        <f>[1]IE!AU32</f>
        <v>0</v>
      </c>
      <c r="P28" s="4">
        <f>[1]Educación!U32</f>
        <v>1</v>
      </c>
      <c r="Q28" s="4">
        <f>[1]ADTCA!X32</f>
        <v>0</v>
      </c>
      <c r="R28" s="11">
        <f>[1]DSC!U32</f>
        <v>1</v>
      </c>
      <c r="S28" s="13">
        <v>0.8</v>
      </c>
      <c r="T28" s="4"/>
      <c r="U28" s="4">
        <f>[1]IE!BE32</f>
        <v>0</v>
      </c>
      <c r="V28" s="6">
        <f>[1]Educación!V32</f>
        <v>1</v>
      </c>
      <c r="W28" s="6">
        <f>[1]ADTCA!Y32</f>
        <v>0</v>
      </c>
      <c r="X28" s="6">
        <f>[1]DSC!V32</f>
        <v>0</v>
      </c>
      <c r="Y28" s="6">
        <v>0.9</v>
      </c>
      <c r="Z28" s="6"/>
      <c r="AA28" s="6">
        <f>[1]IE!BF32</f>
        <v>0</v>
      </c>
      <c r="AB28" s="6">
        <f>[1]Educación!W32</f>
        <v>1</v>
      </c>
      <c r="AC28" s="6">
        <f>[1]ADTCA!Z32</f>
        <v>0</v>
      </c>
      <c r="AD28" s="6">
        <f>[1]DSC!W32</f>
        <v>0</v>
      </c>
      <c r="AE28" s="6">
        <v>1</v>
      </c>
      <c r="AF28" s="6"/>
    </row>
    <row r="29" spans="1:32" ht="43.5" customHeight="1" x14ac:dyDescent="0.2">
      <c r="A29" s="27" t="s">
        <v>37</v>
      </c>
      <c r="B29" s="28" t="s">
        <v>66</v>
      </c>
      <c r="C29" s="7">
        <f>[1]IE!D33</f>
        <v>0</v>
      </c>
      <c r="D29" s="7">
        <f>[1]Educación!D33</f>
        <v>0</v>
      </c>
      <c r="E29" s="7">
        <f>[1]ADTCA!D33</f>
        <v>2</v>
      </c>
      <c r="F29" s="7">
        <f>[1]DSC!D33</f>
        <v>0</v>
      </c>
      <c r="G29" s="7">
        <f>[1]DAF!D6</f>
        <v>0</v>
      </c>
      <c r="H29" s="7"/>
      <c r="I29" s="8">
        <f>[1]IE!AA33</f>
        <v>0</v>
      </c>
      <c r="J29" s="2">
        <f>[1]Educación!K33</f>
        <v>0</v>
      </c>
      <c r="K29" s="2">
        <f>[1]ADTCA!N33</f>
        <v>0</v>
      </c>
      <c r="L29" s="15">
        <f>[1]DSC!M33</f>
        <v>1</v>
      </c>
      <c r="M29" s="7">
        <v>0.25</v>
      </c>
      <c r="N29" s="7"/>
      <c r="O29" s="7">
        <f>[1]IE!AU33</f>
        <v>0</v>
      </c>
      <c r="P29" s="7">
        <f>[1]Educación!U33</f>
        <v>0.5</v>
      </c>
      <c r="Q29" s="7">
        <f>[1]ADTCA!X33</f>
        <v>2</v>
      </c>
      <c r="R29" s="7">
        <f>[1]DSC!U33</f>
        <v>0</v>
      </c>
      <c r="S29" s="14">
        <v>0.5</v>
      </c>
      <c r="T29" s="7"/>
      <c r="U29" s="7">
        <f>[1]IE!BE33</f>
        <v>4</v>
      </c>
      <c r="V29" s="9">
        <f>[1]Educación!V33</f>
        <v>0.5</v>
      </c>
      <c r="W29" s="9">
        <f>[1]ADTCA!Y33</f>
        <v>2</v>
      </c>
      <c r="X29" s="9">
        <f>[1]DSC!V33</f>
        <v>0</v>
      </c>
      <c r="Y29" s="9">
        <v>0.5</v>
      </c>
      <c r="Z29" s="9"/>
      <c r="AA29" s="9">
        <f>[1]IE!BF33</f>
        <v>5</v>
      </c>
      <c r="AB29" s="9">
        <f>[1]Educación!W33</f>
        <v>0.5</v>
      </c>
      <c r="AC29" s="9">
        <f>[1]ADTCA!Z33</f>
        <v>2</v>
      </c>
      <c r="AD29" s="9">
        <f>[1]DSC!W33</f>
        <v>0</v>
      </c>
      <c r="AE29" s="9">
        <v>1</v>
      </c>
      <c r="AF29" s="9"/>
    </row>
    <row r="30" spans="1:32" ht="14.25" customHeight="1" x14ac:dyDescent="0.2">
      <c r="A30" s="16"/>
      <c r="B30" s="16"/>
      <c r="C30" s="16"/>
      <c r="D30" s="16"/>
      <c r="E30" s="16"/>
      <c r="F30" s="16"/>
      <c r="G30" s="16"/>
      <c r="H30" s="16"/>
      <c r="I30" s="17"/>
      <c r="J30" s="18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</row>
    <row r="31" spans="1:32" ht="14.25" customHeight="1" x14ac:dyDescent="0.2"/>
    <row r="32" spans="1: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</sheetData>
  <mergeCells count="5">
    <mergeCell ref="AA1:AF1"/>
    <mergeCell ref="C1:H1"/>
    <mergeCell ref="I1:N1"/>
    <mergeCell ref="O1:T1"/>
    <mergeCell ref="U1:Z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Guallasamín Miño</dc:creator>
  <cp:lastModifiedBy>Jonathan Esteban Guallasamín Miño</cp:lastModifiedBy>
  <dcterms:created xsi:type="dcterms:W3CDTF">2025-11-27T02:47:24Z</dcterms:created>
  <dcterms:modified xsi:type="dcterms:W3CDTF">2025-12-21T22:29:27Z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b10915-602c-481a-bdc7-238d429ea082_Enabled">
    <vt:lpwstr>true</vt:lpwstr>
  </property>
  <property fmtid="{D5CDD505-2E9C-101B-9397-08002B2CF9AE}" pid="3" name="MSIP_Label_f7b10915-602c-481a-bdc7-238d429ea082_SetDate">
    <vt:lpwstr>2025-11-27T02:47:28Z</vt:lpwstr>
  </property>
  <property fmtid="{D5CDD505-2E9C-101B-9397-08002B2CF9AE}" pid="4" name="MSIP_Label_f7b10915-602c-481a-bdc7-238d429ea082_Method">
    <vt:lpwstr>Standard</vt:lpwstr>
  </property>
  <property fmtid="{D5CDD505-2E9C-101B-9397-08002B2CF9AE}" pid="5" name="MSIP_Label_f7b10915-602c-481a-bdc7-238d429ea082_Name">
    <vt:lpwstr>defa4170-0d19-0005-0004-bc88714345d2</vt:lpwstr>
  </property>
  <property fmtid="{D5CDD505-2E9C-101B-9397-08002B2CF9AE}" pid="6" name="MSIP_Label_f7b10915-602c-481a-bdc7-238d429ea082_SiteId">
    <vt:lpwstr>9f119962-8c62-431c-a8ef-e7e0a42d11fc</vt:lpwstr>
  </property>
  <property fmtid="{D5CDD505-2E9C-101B-9397-08002B2CF9AE}" pid="7" name="MSIP_Label_f7b10915-602c-481a-bdc7-238d429ea082_ActionId">
    <vt:lpwstr>239c4ed5-6824-4f6b-93a6-616a66e4b4b7</vt:lpwstr>
  </property>
  <property fmtid="{D5CDD505-2E9C-101B-9397-08002B2CF9AE}" pid="8" name="MSIP_Label_f7b10915-602c-481a-bdc7-238d429ea082_ContentBits">
    <vt:lpwstr>0</vt:lpwstr>
  </property>
  <property fmtid="{D5CDD505-2E9C-101B-9397-08002B2CF9AE}" pid="9" name="MSIP_Label_f7b10915-602c-481a-bdc7-238d429ea082_Tag">
    <vt:lpwstr>50, 3, 0, 1</vt:lpwstr>
  </property>
</Properties>
</file>